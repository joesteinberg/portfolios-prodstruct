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580" yWindow="510" windowWidth="13395" windowHeight="7635" tabRatio="940" firstSheet="12" activeTab="21"/>
  </bookViews>
  <sheets>
    <sheet name="BenchmarkIOMatrix-1995" sheetId="20" r:id="rId1"/>
    <sheet name="BenchmarkIOMatrix-2011" sheetId="19" r:id="rId2"/>
    <sheet name="Alt1-Size" sheetId="27" r:id="rId3"/>
    <sheet name="Alt2-Trd" sheetId="24" r:id="rId4"/>
    <sheet name="Alt3-IO" sheetId="30" r:id="rId5"/>
    <sheet name="Alt4-NX" sheetId="10" r:id="rId6"/>
    <sheet name="BenchBalanced-1995" sheetId="32" r:id="rId7"/>
    <sheet name="BenchBalanced-2011" sheetId="33" r:id="rId8"/>
    <sheet name="Alt1-Balanced-Size" sheetId="36" r:id="rId9"/>
    <sheet name="Alt2-Balanced-Trd" sheetId="38" r:id="rId10"/>
    <sheet name="Alt3-Balanced-IO" sheetId="41" r:id="rId11"/>
    <sheet name="iomat-bench-1995" sheetId="21" r:id="rId12"/>
    <sheet name="iomat-bench-2011" sheetId="22" r:id="rId13"/>
    <sheet name="iomat-size-counter" sheetId="28" r:id="rId14"/>
    <sheet name="iomat-trd-counter" sheetId="26" r:id="rId15"/>
    <sheet name="iomat-io-counter" sheetId="31" r:id="rId16"/>
    <sheet name="iomat-nx-counter" sheetId="23" r:id="rId17"/>
    <sheet name="iomat-bal-bench-1995" sheetId="34" r:id="rId18"/>
    <sheet name="iomat-bal-bench-2011" sheetId="35" r:id="rId19"/>
    <sheet name="iomat-bal-size-counter" sheetId="37" r:id="rId20"/>
    <sheet name="iomat-bal-trd-counter" sheetId="39" r:id="rId21"/>
    <sheet name="iomat-bal-io-counter" sheetId="42" r:id="rId22"/>
  </sheets>
  <calcPr calcId="145621"/>
</workbook>
</file>

<file path=xl/calcChain.xml><?xml version="1.0" encoding="utf-8"?>
<calcChain xmlns="http://schemas.openxmlformats.org/spreadsheetml/2006/main">
  <c r="L5" i="42" l="1"/>
  <c r="K5" i="42"/>
  <c r="J5" i="42"/>
  <c r="I5" i="42"/>
  <c r="H5" i="42"/>
  <c r="G5" i="42"/>
  <c r="F5" i="42"/>
  <c r="E5" i="42"/>
  <c r="D5" i="42"/>
  <c r="C5" i="42"/>
  <c r="B5" i="42"/>
  <c r="A5" i="42"/>
  <c r="L4" i="42"/>
  <c r="K4" i="42"/>
  <c r="J4" i="42"/>
  <c r="I4" i="42"/>
  <c r="H4" i="42"/>
  <c r="G4" i="42"/>
  <c r="F4" i="42"/>
  <c r="E4" i="42"/>
  <c r="D4" i="42"/>
  <c r="C4" i="42"/>
  <c r="B4" i="42"/>
  <c r="A4" i="42"/>
  <c r="L3" i="42"/>
  <c r="K3" i="42"/>
  <c r="J3" i="42"/>
  <c r="I3" i="42"/>
  <c r="H3" i="42"/>
  <c r="G3" i="42"/>
  <c r="F3" i="42"/>
  <c r="E3" i="42"/>
  <c r="D3" i="42"/>
  <c r="C3" i="42"/>
  <c r="B3" i="42"/>
  <c r="A3" i="42"/>
  <c r="L2" i="42"/>
  <c r="K2" i="42"/>
  <c r="J2" i="42"/>
  <c r="I2" i="42"/>
  <c r="H2" i="42"/>
  <c r="G2" i="42"/>
  <c r="F2" i="42"/>
  <c r="E2" i="42"/>
  <c r="D2" i="42"/>
  <c r="C2" i="42"/>
  <c r="B2" i="42"/>
  <c r="A2" i="42"/>
  <c r="L1" i="42"/>
  <c r="K1" i="42"/>
  <c r="J1" i="42"/>
  <c r="I1" i="42"/>
  <c r="H1" i="42"/>
  <c r="G1" i="42"/>
  <c r="F1" i="42"/>
  <c r="E1" i="42"/>
  <c r="D1" i="42"/>
  <c r="C1" i="42"/>
  <c r="B1" i="42"/>
  <c r="A1" i="42"/>
  <c r="D56" i="41"/>
  <c r="E56" i="41"/>
  <c r="F56" i="41"/>
  <c r="C56" i="41"/>
  <c r="D53" i="41"/>
  <c r="E53" i="41"/>
  <c r="F53" i="41"/>
  <c r="D54" i="41"/>
  <c r="E54" i="41"/>
  <c r="F54" i="41"/>
  <c r="C54" i="41"/>
  <c r="C53" i="41"/>
  <c r="F47" i="41"/>
  <c r="E47" i="41"/>
  <c r="D47" i="41"/>
  <c r="C47" i="41"/>
  <c r="D43" i="41"/>
  <c r="E43" i="41"/>
  <c r="F43" i="41"/>
  <c r="C43" i="41"/>
  <c r="D41" i="41"/>
  <c r="E41" i="41"/>
  <c r="F41" i="41"/>
  <c r="C41" i="41"/>
  <c r="D35" i="41"/>
  <c r="E35" i="41"/>
  <c r="F35" i="41"/>
  <c r="C35" i="41"/>
  <c r="D30" i="41"/>
  <c r="E30" i="41"/>
  <c r="F30" i="41"/>
  <c r="C30" i="41"/>
  <c r="I15" i="41"/>
  <c r="G15" i="41"/>
  <c r="E15" i="41"/>
  <c r="C15" i="41"/>
  <c r="P14" i="41"/>
  <c r="N14" i="41"/>
  <c r="L14" i="41"/>
  <c r="Q13" i="41"/>
  <c r="Q17" i="41" s="1"/>
  <c r="N12" i="41"/>
  <c r="O11" i="41"/>
  <c r="P10" i="41"/>
  <c r="U9" i="41"/>
  <c r="M9" i="41"/>
  <c r="M17" i="41" s="1"/>
  <c r="Z8" i="41"/>
  <c r="X8" i="41"/>
  <c r="V8" i="41"/>
  <c r="R8" i="41"/>
  <c r="P8" i="41"/>
  <c r="N8" i="41"/>
  <c r="J8" i="41"/>
  <c r="H8" i="41"/>
  <c r="F8" i="41"/>
  <c r="S7" i="41"/>
  <c r="K7" i="41"/>
  <c r="C7" i="41"/>
  <c r="N93" i="41"/>
  <c r="M93" i="41"/>
  <c r="L93" i="41"/>
  <c r="K93" i="41"/>
  <c r="J93" i="41"/>
  <c r="I93" i="41"/>
  <c r="H93" i="41"/>
  <c r="G93" i="41"/>
  <c r="F93" i="41"/>
  <c r="E93" i="41"/>
  <c r="D93" i="41"/>
  <c r="C93" i="41"/>
  <c r="N92" i="41"/>
  <c r="M92" i="41"/>
  <c r="L92" i="41"/>
  <c r="K92" i="41"/>
  <c r="J92" i="41"/>
  <c r="I92" i="41"/>
  <c r="H92" i="41"/>
  <c r="G92" i="41"/>
  <c r="F92" i="41"/>
  <c r="E92" i="41"/>
  <c r="D92" i="41"/>
  <c r="C92" i="41"/>
  <c r="N91" i="41"/>
  <c r="M91" i="41"/>
  <c r="L91" i="41"/>
  <c r="K91" i="41"/>
  <c r="J91" i="41"/>
  <c r="I91" i="41"/>
  <c r="H91" i="41"/>
  <c r="G91" i="41"/>
  <c r="F91" i="41"/>
  <c r="E91" i="41"/>
  <c r="D91" i="41"/>
  <c r="C91" i="41"/>
  <c r="N90" i="41"/>
  <c r="M90" i="41"/>
  <c r="L90" i="41"/>
  <c r="K90" i="41"/>
  <c r="J90" i="41"/>
  <c r="I90" i="41"/>
  <c r="H90" i="41"/>
  <c r="G90" i="41"/>
  <c r="F90" i="41"/>
  <c r="E90" i="41"/>
  <c r="D90" i="41"/>
  <c r="C90" i="41"/>
  <c r="N89" i="41"/>
  <c r="N95" i="41" s="1"/>
  <c r="M89" i="41"/>
  <c r="L89" i="41"/>
  <c r="L95" i="41" s="1"/>
  <c r="K89" i="41"/>
  <c r="K95" i="41" s="1"/>
  <c r="J89" i="41"/>
  <c r="J95" i="41" s="1"/>
  <c r="I89" i="41"/>
  <c r="H89" i="41"/>
  <c r="G89" i="41"/>
  <c r="G95" i="41" s="1"/>
  <c r="F89" i="41"/>
  <c r="F95" i="41" s="1"/>
  <c r="E89" i="41"/>
  <c r="D89" i="41"/>
  <c r="D95" i="41" s="1"/>
  <c r="C89" i="41"/>
  <c r="C95" i="41" s="1"/>
  <c r="Z79" i="41"/>
  <c r="Y79" i="41"/>
  <c r="X79" i="41"/>
  <c r="W79" i="41"/>
  <c r="V79" i="41"/>
  <c r="U79" i="41"/>
  <c r="T79" i="41"/>
  <c r="S79" i="41"/>
  <c r="R79" i="41"/>
  <c r="Q79" i="41"/>
  <c r="P79" i="41"/>
  <c r="O79" i="41"/>
  <c r="N79" i="41"/>
  <c r="M79" i="41"/>
  <c r="L79" i="41"/>
  <c r="K79" i="41"/>
  <c r="J79" i="41"/>
  <c r="I79" i="41"/>
  <c r="H79" i="41"/>
  <c r="G79" i="41"/>
  <c r="F79" i="41"/>
  <c r="E79" i="41"/>
  <c r="D79" i="41"/>
  <c r="C79" i="41"/>
  <c r="AB77" i="41"/>
  <c r="AB76" i="41"/>
  <c r="AB75" i="41"/>
  <c r="AB74" i="41"/>
  <c r="AB73" i="41"/>
  <c r="AB72" i="41"/>
  <c r="AB71" i="41"/>
  <c r="AB70" i="41"/>
  <c r="AB69" i="41"/>
  <c r="F26" i="41"/>
  <c r="E26" i="41"/>
  <c r="D26" i="41"/>
  <c r="C26" i="41"/>
  <c r="O17" i="41"/>
  <c r="P17" i="41"/>
  <c r="K17" i="41"/>
  <c r="C2" i="39"/>
  <c r="D2" i="39"/>
  <c r="E2" i="39"/>
  <c r="F2" i="39"/>
  <c r="G2" i="39"/>
  <c r="H2" i="39"/>
  <c r="I2" i="39"/>
  <c r="J2" i="39"/>
  <c r="K2" i="39"/>
  <c r="L2" i="39"/>
  <c r="C3" i="39"/>
  <c r="D3" i="39"/>
  <c r="E3" i="39"/>
  <c r="F3" i="39"/>
  <c r="G3" i="39"/>
  <c r="H3" i="39"/>
  <c r="I3" i="39"/>
  <c r="J3" i="39"/>
  <c r="K3" i="39"/>
  <c r="L3" i="39"/>
  <c r="C4" i="39"/>
  <c r="D4" i="39"/>
  <c r="E4" i="39"/>
  <c r="F4" i="39"/>
  <c r="G4" i="39"/>
  <c r="H4" i="39"/>
  <c r="I4" i="39"/>
  <c r="J4" i="39"/>
  <c r="K4" i="39"/>
  <c r="L4" i="39"/>
  <c r="C5" i="39"/>
  <c r="D5" i="39"/>
  <c r="E5" i="39"/>
  <c r="F5" i="39"/>
  <c r="G5" i="39"/>
  <c r="H5" i="39"/>
  <c r="I5" i="39"/>
  <c r="J5" i="39"/>
  <c r="K5" i="39"/>
  <c r="L5" i="39"/>
  <c r="D1" i="39"/>
  <c r="E1" i="39"/>
  <c r="F1" i="39"/>
  <c r="G1" i="39"/>
  <c r="H1" i="39"/>
  <c r="I1" i="39"/>
  <c r="J1" i="39"/>
  <c r="K1" i="39"/>
  <c r="L1" i="39"/>
  <c r="C1" i="39"/>
  <c r="B5" i="39"/>
  <c r="A5" i="39"/>
  <c r="B4" i="39"/>
  <c r="A4" i="39"/>
  <c r="B3" i="39"/>
  <c r="A3" i="39"/>
  <c r="B2" i="39"/>
  <c r="A2" i="39"/>
  <c r="B1" i="39"/>
  <c r="A1" i="39"/>
  <c r="C102" i="32"/>
  <c r="C82" i="32"/>
  <c r="C72" i="32"/>
  <c r="C99" i="32"/>
  <c r="C79" i="32"/>
  <c r="C69" i="32"/>
  <c r="C89" i="32" s="1"/>
  <c r="F65" i="32"/>
  <c r="E65" i="32"/>
  <c r="D65" i="32"/>
  <c r="C65" i="32"/>
  <c r="D26" i="38"/>
  <c r="E26" i="38"/>
  <c r="F26" i="38"/>
  <c r="C26" i="38"/>
  <c r="Z8" i="38"/>
  <c r="X8" i="38"/>
  <c r="V8" i="38"/>
  <c r="U9" i="38"/>
  <c r="S7" i="38"/>
  <c r="S17" i="38" s="1"/>
  <c r="R8" i="38"/>
  <c r="Q13" i="38"/>
  <c r="Q17" i="38" s="1"/>
  <c r="P14" i="38"/>
  <c r="P10" i="38"/>
  <c r="P8" i="38"/>
  <c r="O11" i="38"/>
  <c r="O17" i="38" s="1"/>
  <c r="N14" i="38"/>
  <c r="N12" i="38"/>
  <c r="N8" i="38"/>
  <c r="M9" i="38"/>
  <c r="L14" i="38"/>
  <c r="K7" i="38"/>
  <c r="K17" i="38" s="1"/>
  <c r="J8" i="38"/>
  <c r="I15" i="38"/>
  <c r="H8" i="38"/>
  <c r="G15" i="38"/>
  <c r="F8" i="38"/>
  <c r="E15" i="38"/>
  <c r="C15" i="38"/>
  <c r="AB15" i="38" s="1"/>
  <c r="AC15" i="38" s="1"/>
  <c r="AC72" i="38" s="1"/>
  <c r="C7" i="38"/>
  <c r="AB7" i="38" s="1"/>
  <c r="N88" i="38"/>
  <c r="M88" i="38"/>
  <c r="L88" i="38"/>
  <c r="K88" i="38"/>
  <c r="J88" i="38"/>
  <c r="I88" i="38"/>
  <c r="H88" i="38"/>
  <c r="G88" i="38"/>
  <c r="F88" i="38"/>
  <c r="E88" i="38"/>
  <c r="D88" i="38"/>
  <c r="C88" i="38"/>
  <c r="N87" i="38"/>
  <c r="M87" i="38"/>
  <c r="L87" i="38"/>
  <c r="K87" i="38"/>
  <c r="J87" i="38"/>
  <c r="I87" i="38"/>
  <c r="H87" i="38"/>
  <c r="G87" i="38"/>
  <c r="F87" i="38"/>
  <c r="E87" i="38"/>
  <c r="D87" i="38"/>
  <c r="C87" i="38"/>
  <c r="N86" i="38"/>
  <c r="M86" i="38"/>
  <c r="L86" i="38"/>
  <c r="K86" i="38"/>
  <c r="J86" i="38"/>
  <c r="I86" i="38"/>
  <c r="H86" i="38"/>
  <c r="G86" i="38"/>
  <c r="F86" i="38"/>
  <c r="E86" i="38"/>
  <c r="D86" i="38"/>
  <c r="C86" i="38"/>
  <c r="N85" i="38"/>
  <c r="M85" i="38"/>
  <c r="L85" i="38"/>
  <c r="K85" i="38"/>
  <c r="J85" i="38"/>
  <c r="I85" i="38"/>
  <c r="H85" i="38"/>
  <c r="G85" i="38"/>
  <c r="F85" i="38"/>
  <c r="E85" i="38"/>
  <c r="D85" i="38"/>
  <c r="C85" i="38"/>
  <c r="N84" i="38"/>
  <c r="N90" i="38" s="1"/>
  <c r="M84" i="38"/>
  <c r="L84" i="38"/>
  <c r="K84" i="38"/>
  <c r="K90" i="38" s="1"/>
  <c r="J84" i="38"/>
  <c r="J90" i="38" s="1"/>
  <c r="I84" i="38"/>
  <c r="H84" i="38"/>
  <c r="G84" i="38"/>
  <c r="G90" i="38" s="1"/>
  <c r="F84" i="38"/>
  <c r="F90" i="38" s="1"/>
  <c r="E84" i="38"/>
  <c r="D84" i="38"/>
  <c r="C84" i="38"/>
  <c r="C90" i="38" s="1"/>
  <c r="Z74" i="38"/>
  <c r="Y74" i="38"/>
  <c r="X74" i="38"/>
  <c r="W74" i="38"/>
  <c r="V74" i="38"/>
  <c r="U74" i="38"/>
  <c r="T74" i="38"/>
  <c r="S74" i="38"/>
  <c r="R74" i="38"/>
  <c r="Q74" i="38"/>
  <c r="P74" i="38"/>
  <c r="O74" i="38"/>
  <c r="N74" i="38"/>
  <c r="M74" i="38"/>
  <c r="L74" i="38"/>
  <c r="K74" i="38"/>
  <c r="J74" i="38"/>
  <c r="I74" i="38"/>
  <c r="H74" i="38"/>
  <c r="G74" i="38"/>
  <c r="F74" i="38"/>
  <c r="E74" i="38"/>
  <c r="D74" i="38"/>
  <c r="C74" i="38"/>
  <c r="AB72" i="38"/>
  <c r="AB71" i="38"/>
  <c r="AB70" i="38"/>
  <c r="AB69" i="38"/>
  <c r="AB68" i="38"/>
  <c r="AB67" i="38"/>
  <c r="AB66" i="38"/>
  <c r="AB65" i="38"/>
  <c r="AB64" i="38"/>
  <c r="M17" i="38"/>
  <c r="P17" i="38"/>
  <c r="N17" i="38"/>
  <c r="C2" i="37"/>
  <c r="D2" i="37"/>
  <c r="E2" i="37"/>
  <c r="F2" i="37"/>
  <c r="G2" i="37"/>
  <c r="H2" i="37"/>
  <c r="I2" i="37"/>
  <c r="J2" i="37"/>
  <c r="K2" i="37"/>
  <c r="L2" i="37"/>
  <c r="C3" i="37"/>
  <c r="D3" i="37"/>
  <c r="E3" i="37"/>
  <c r="F3" i="37"/>
  <c r="G3" i="37"/>
  <c r="H3" i="37"/>
  <c r="I3" i="37"/>
  <c r="J3" i="37"/>
  <c r="K3" i="37"/>
  <c r="L3" i="37"/>
  <c r="C4" i="37"/>
  <c r="D4" i="37"/>
  <c r="E4" i="37"/>
  <c r="F4" i="37"/>
  <c r="G4" i="37"/>
  <c r="H4" i="37"/>
  <c r="I4" i="37"/>
  <c r="J4" i="37"/>
  <c r="K4" i="37"/>
  <c r="L4" i="37"/>
  <c r="C5" i="37"/>
  <c r="D5" i="37"/>
  <c r="E5" i="37"/>
  <c r="F5" i="37"/>
  <c r="G5" i="37"/>
  <c r="H5" i="37"/>
  <c r="I5" i="37"/>
  <c r="J5" i="37"/>
  <c r="K5" i="37"/>
  <c r="L5" i="37"/>
  <c r="D1" i="37"/>
  <c r="E1" i="37"/>
  <c r="F1" i="37"/>
  <c r="G1" i="37"/>
  <c r="H1" i="37"/>
  <c r="I1" i="37"/>
  <c r="J1" i="37"/>
  <c r="K1" i="37"/>
  <c r="L1" i="37"/>
  <c r="C1" i="37"/>
  <c r="B5" i="37"/>
  <c r="A5" i="37"/>
  <c r="B4" i="37"/>
  <c r="A4" i="37"/>
  <c r="B3" i="37"/>
  <c r="A3" i="37"/>
  <c r="B2" i="37"/>
  <c r="A2" i="37"/>
  <c r="B1" i="37"/>
  <c r="A1" i="37"/>
  <c r="D35" i="36"/>
  <c r="F34" i="36"/>
  <c r="F35" i="36" s="1"/>
  <c r="E34" i="36"/>
  <c r="E35" i="36" s="1"/>
  <c r="D34" i="36"/>
  <c r="C34" i="36"/>
  <c r="C35" i="36" s="1"/>
  <c r="F30" i="36"/>
  <c r="E30" i="36"/>
  <c r="D30" i="36"/>
  <c r="C30" i="36"/>
  <c r="F26" i="36"/>
  <c r="E26" i="36"/>
  <c r="D26" i="36"/>
  <c r="C26" i="36"/>
  <c r="F25" i="36"/>
  <c r="E25" i="36"/>
  <c r="D25" i="36"/>
  <c r="C25" i="36"/>
  <c r="C8" i="36"/>
  <c r="P8" i="36" s="1"/>
  <c r="D8" i="36"/>
  <c r="E8" i="36"/>
  <c r="F8" i="36"/>
  <c r="G8" i="36"/>
  <c r="H8" i="36"/>
  <c r="I8" i="36"/>
  <c r="J8" i="36"/>
  <c r="K8" i="36"/>
  <c r="L8" i="36"/>
  <c r="M8" i="36"/>
  <c r="N8" i="36"/>
  <c r="C9" i="36"/>
  <c r="D9" i="36"/>
  <c r="E9" i="36"/>
  <c r="F9" i="36"/>
  <c r="G9" i="36"/>
  <c r="H9" i="36"/>
  <c r="I9" i="36"/>
  <c r="J9" i="36"/>
  <c r="K9" i="36"/>
  <c r="L9" i="36"/>
  <c r="M9" i="36"/>
  <c r="N9" i="36"/>
  <c r="C10" i="36"/>
  <c r="D10" i="36"/>
  <c r="E10" i="36"/>
  <c r="F10" i="36"/>
  <c r="G10" i="36"/>
  <c r="H10" i="36"/>
  <c r="I10" i="36"/>
  <c r="J10" i="36"/>
  <c r="K10" i="36"/>
  <c r="L10" i="36"/>
  <c r="M10" i="36"/>
  <c r="N10" i="36"/>
  <c r="C11" i="36"/>
  <c r="D11" i="36"/>
  <c r="E11" i="36"/>
  <c r="F11" i="36"/>
  <c r="G11" i="36"/>
  <c r="H11" i="36"/>
  <c r="I11" i="36"/>
  <c r="J11" i="36"/>
  <c r="K11" i="36"/>
  <c r="L11" i="36"/>
  <c r="M11" i="36"/>
  <c r="N11" i="36"/>
  <c r="C12" i="36"/>
  <c r="P12" i="36" s="1"/>
  <c r="D12" i="36"/>
  <c r="E12" i="36"/>
  <c r="F12" i="36"/>
  <c r="G12" i="36"/>
  <c r="H12" i="36"/>
  <c r="I12" i="36"/>
  <c r="J12" i="36"/>
  <c r="K12" i="36"/>
  <c r="L12" i="36"/>
  <c r="M12" i="36"/>
  <c r="N12" i="36"/>
  <c r="C13" i="36"/>
  <c r="D13" i="36"/>
  <c r="E13" i="36"/>
  <c r="F13" i="36"/>
  <c r="G13" i="36"/>
  <c r="H13" i="36"/>
  <c r="I13" i="36"/>
  <c r="J13" i="36"/>
  <c r="K13" i="36"/>
  <c r="L13" i="36"/>
  <c r="M13" i="36"/>
  <c r="N13" i="36"/>
  <c r="C14" i="36"/>
  <c r="D14" i="36"/>
  <c r="E14" i="36"/>
  <c r="F14" i="36"/>
  <c r="G14" i="36"/>
  <c r="H14" i="36"/>
  <c r="I14" i="36"/>
  <c r="J14" i="36"/>
  <c r="K14" i="36"/>
  <c r="L14" i="36"/>
  <c r="M14" i="36"/>
  <c r="N14" i="36"/>
  <c r="D7" i="36"/>
  <c r="E7" i="36"/>
  <c r="F7" i="36"/>
  <c r="G7" i="36"/>
  <c r="H7" i="36"/>
  <c r="I7" i="36"/>
  <c r="J7" i="36"/>
  <c r="K7" i="36"/>
  <c r="L7" i="36"/>
  <c r="L16" i="36" s="1"/>
  <c r="M7" i="36"/>
  <c r="N7" i="36"/>
  <c r="C7" i="36"/>
  <c r="C16" i="36" s="1"/>
  <c r="N69" i="36"/>
  <c r="M69" i="36"/>
  <c r="L69" i="36"/>
  <c r="K69" i="36"/>
  <c r="J69" i="36"/>
  <c r="I69" i="36"/>
  <c r="H69" i="36"/>
  <c r="G69" i="36"/>
  <c r="F69" i="36"/>
  <c r="E69" i="36"/>
  <c r="D69" i="36"/>
  <c r="C69" i="36"/>
  <c r="N68" i="36"/>
  <c r="M68" i="36"/>
  <c r="L68" i="36"/>
  <c r="K68" i="36"/>
  <c r="J68" i="36"/>
  <c r="I68" i="36"/>
  <c r="H68" i="36"/>
  <c r="G68" i="36"/>
  <c r="F68" i="36"/>
  <c r="E68" i="36"/>
  <c r="D68" i="36"/>
  <c r="C68" i="36"/>
  <c r="N67" i="36"/>
  <c r="M67" i="36"/>
  <c r="L67" i="36"/>
  <c r="K67" i="36"/>
  <c r="J67" i="36"/>
  <c r="I67" i="36"/>
  <c r="H67" i="36"/>
  <c r="G67" i="36"/>
  <c r="F67" i="36"/>
  <c r="E67" i="36"/>
  <c r="D67" i="36"/>
  <c r="C67" i="36"/>
  <c r="N66" i="36"/>
  <c r="M66" i="36"/>
  <c r="L66" i="36"/>
  <c r="K66" i="36"/>
  <c r="J66" i="36"/>
  <c r="I66" i="36"/>
  <c r="H66" i="36"/>
  <c r="G66" i="36"/>
  <c r="F66" i="36"/>
  <c r="E66" i="36"/>
  <c r="D66" i="36"/>
  <c r="C66" i="36"/>
  <c r="N65" i="36"/>
  <c r="M65" i="36"/>
  <c r="M71" i="36" s="1"/>
  <c r="L65" i="36"/>
  <c r="L71" i="36" s="1"/>
  <c r="K65" i="36"/>
  <c r="J65" i="36"/>
  <c r="I65" i="36"/>
  <c r="I71" i="36" s="1"/>
  <c r="H65" i="36"/>
  <c r="H71" i="36" s="1"/>
  <c r="G65" i="36"/>
  <c r="F65" i="36"/>
  <c r="E65" i="36"/>
  <c r="E71" i="36" s="1"/>
  <c r="D65" i="36"/>
  <c r="D71" i="36" s="1"/>
  <c r="C65" i="36"/>
  <c r="N56" i="36"/>
  <c r="M56" i="36"/>
  <c r="L56" i="36"/>
  <c r="K56" i="36"/>
  <c r="J56" i="36"/>
  <c r="I56" i="36"/>
  <c r="H56" i="36"/>
  <c r="G56" i="36"/>
  <c r="F56" i="36"/>
  <c r="E56" i="36"/>
  <c r="D56" i="36"/>
  <c r="C56" i="36"/>
  <c r="P54" i="36"/>
  <c r="P53" i="36"/>
  <c r="P52" i="36"/>
  <c r="P51" i="36"/>
  <c r="P50" i="36"/>
  <c r="P49" i="36"/>
  <c r="P48" i="36"/>
  <c r="P47" i="36"/>
  <c r="H16" i="36"/>
  <c r="E16" i="36"/>
  <c r="C3" i="35"/>
  <c r="H3" i="35"/>
  <c r="C4" i="35"/>
  <c r="L4" i="35"/>
  <c r="C5" i="35"/>
  <c r="D5" i="35"/>
  <c r="G5" i="35"/>
  <c r="H5" i="35"/>
  <c r="K5" i="35"/>
  <c r="L5" i="35"/>
  <c r="H1" i="35"/>
  <c r="L1" i="35"/>
  <c r="D2" i="34"/>
  <c r="H2" i="34"/>
  <c r="L2" i="34"/>
  <c r="D3" i="34"/>
  <c r="H3" i="34"/>
  <c r="L3" i="34"/>
  <c r="D4" i="34"/>
  <c r="H4" i="34"/>
  <c r="L4" i="34"/>
  <c r="A5" i="34"/>
  <c r="B5" i="34"/>
  <c r="C5" i="34"/>
  <c r="D5" i="34"/>
  <c r="E5" i="34"/>
  <c r="F5" i="34"/>
  <c r="G5" i="34"/>
  <c r="H5" i="34"/>
  <c r="I5" i="34"/>
  <c r="J5" i="34"/>
  <c r="K5" i="34"/>
  <c r="L5" i="34"/>
  <c r="B1" i="34"/>
  <c r="C1" i="34"/>
  <c r="D1" i="34"/>
  <c r="E1" i="34"/>
  <c r="F1" i="34"/>
  <c r="G1" i="34"/>
  <c r="H1" i="34"/>
  <c r="I1" i="34"/>
  <c r="J1" i="34"/>
  <c r="K1" i="34"/>
  <c r="L1" i="34"/>
  <c r="A1" i="34"/>
  <c r="F25" i="33"/>
  <c r="E25" i="33"/>
  <c r="D25" i="33"/>
  <c r="C25" i="33"/>
  <c r="F14" i="33"/>
  <c r="E13" i="33"/>
  <c r="P13" i="33" s="1"/>
  <c r="D12" i="33"/>
  <c r="Q12" i="33" s="1"/>
  <c r="C11" i="33"/>
  <c r="P11" i="33" s="1"/>
  <c r="N10" i="33"/>
  <c r="M10" i="33"/>
  <c r="L10" i="33"/>
  <c r="K10" i="33"/>
  <c r="J10" i="33"/>
  <c r="I10" i="33"/>
  <c r="H10" i="33"/>
  <c r="G10" i="33"/>
  <c r="F10" i="33"/>
  <c r="E10" i="33"/>
  <c r="D10" i="33"/>
  <c r="C10" i="33"/>
  <c r="N9" i="33"/>
  <c r="M9" i="33"/>
  <c r="L9" i="33"/>
  <c r="K9" i="33"/>
  <c r="J9" i="33"/>
  <c r="I9" i="33"/>
  <c r="H9" i="33"/>
  <c r="G9" i="33"/>
  <c r="F9" i="33"/>
  <c r="E9" i="33"/>
  <c r="D9" i="33"/>
  <c r="C9" i="33"/>
  <c r="P9" i="33" s="1"/>
  <c r="N8" i="33"/>
  <c r="M8" i="33"/>
  <c r="L8" i="33"/>
  <c r="K8" i="33"/>
  <c r="J8" i="33"/>
  <c r="I8" i="33"/>
  <c r="H8" i="33"/>
  <c r="G8" i="33"/>
  <c r="F8" i="33"/>
  <c r="E8" i="33"/>
  <c r="D8" i="33"/>
  <c r="C8" i="33"/>
  <c r="N7" i="33"/>
  <c r="M7" i="33"/>
  <c r="L7" i="33"/>
  <c r="K7" i="33"/>
  <c r="K16" i="33" s="1"/>
  <c r="J7" i="33"/>
  <c r="J16" i="33" s="1"/>
  <c r="I7" i="33"/>
  <c r="I16" i="33" s="1"/>
  <c r="H7" i="33"/>
  <c r="H16" i="33" s="1"/>
  <c r="G7" i="33"/>
  <c r="G16" i="33" s="1"/>
  <c r="F7" i="33"/>
  <c r="E7" i="33"/>
  <c r="E16" i="33" s="1"/>
  <c r="E17" i="33" s="1"/>
  <c r="D7" i="33"/>
  <c r="D16" i="33" s="1"/>
  <c r="D17" i="33" s="1"/>
  <c r="C7" i="33"/>
  <c r="P7" i="33" s="1"/>
  <c r="N57" i="33"/>
  <c r="M57" i="33"/>
  <c r="L57" i="33"/>
  <c r="J5" i="35" s="1"/>
  <c r="K57" i="33"/>
  <c r="I5" i="35" s="1"/>
  <c r="J57" i="33"/>
  <c r="I57" i="33"/>
  <c r="H57" i="33"/>
  <c r="F5" i="35" s="1"/>
  <c r="G57" i="33"/>
  <c r="E5" i="35" s="1"/>
  <c r="F57" i="33"/>
  <c r="F65" i="33" s="1"/>
  <c r="E57" i="33"/>
  <c r="E65" i="33" s="1"/>
  <c r="D57" i="33"/>
  <c r="B5" i="35" s="1"/>
  <c r="C57" i="33"/>
  <c r="C65" i="33" s="1"/>
  <c r="N56" i="33"/>
  <c r="M56" i="33"/>
  <c r="K4" i="35" s="1"/>
  <c r="L56" i="33"/>
  <c r="J4" i="35" s="1"/>
  <c r="K56" i="33"/>
  <c r="I4" i="35" s="1"/>
  <c r="J56" i="33"/>
  <c r="H4" i="35" s="1"/>
  <c r="I56" i="33"/>
  <c r="G4" i="35" s="1"/>
  <c r="H56" i="33"/>
  <c r="F4" i="35" s="1"/>
  <c r="G56" i="33"/>
  <c r="E4" i="35" s="1"/>
  <c r="F56" i="33"/>
  <c r="D4" i="35" s="1"/>
  <c r="E56" i="33"/>
  <c r="D56" i="33"/>
  <c r="B4" i="35" s="1"/>
  <c r="C56" i="33"/>
  <c r="N55" i="33"/>
  <c r="L3" i="35" s="1"/>
  <c r="M55" i="33"/>
  <c r="K3" i="35" s="1"/>
  <c r="L55" i="33"/>
  <c r="J3" i="35" s="1"/>
  <c r="K55" i="33"/>
  <c r="I3" i="35" s="1"/>
  <c r="J55" i="33"/>
  <c r="I55" i="33"/>
  <c r="G3" i="35" s="1"/>
  <c r="H55" i="33"/>
  <c r="G55" i="33"/>
  <c r="E99" i="33" s="1"/>
  <c r="F55" i="33"/>
  <c r="D3" i="35" s="1"/>
  <c r="E55" i="33"/>
  <c r="D55" i="33"/>
  <c r="C55" i="33"/>
  <c r="P55" i="33" s="1"/>
  <c r="N54" i="33"/>
  <c r="L2" i="35" s="1"/>
  <c r="M54" i="33"/>
  <c r="K2" i="35" s="1"/>
  <c r="L54" i="33"/>
  <c r="J2" i="35" s="1"/>
  <c r="K54" i="33"/>
  <c r="I2" i="35" s="1"/>
  <c r="J54" i="33"/>
  <c r="H2" i="35" s="1"/>
  <c r="I54" i="33"/>
  <c r="G2" i="35" s="1"/>
  <c r="H54" i="33"/>
  <c r="F2" i="35" s="1"/>
  <c r="G54" i="33"/>
  <c r="E2" i="35" s="1"/>
  <c r="F54" i="33"/>
  <c r="E54" i="33"/>
  <c r="C2" i="35" s="1"/>
  <c r="D54" i="33"/>
  <c r="B2" i="35" s="1"/>
  <c r="C54" i="33"/>
  <c r="A2" i="35" s="1"/>
  <c r="N53" i="33"/>
  <c r="N59" i="33" s="1"/>
  <c r="M53" i="33"/>
  <c r="K1" i="35" s="1"/>
  <c r="L53" i="33"/>
  <c r="J1" i="35" s="1"/>
  <c r="K53" i="33"/>
  <c r="K59" i="33" s="1"/>
  <c r="J53" i="33"/>
  <c r="J59" i="33" s="1"/>
  <c r="I53" i="33"/>
  <c r="G1" i="35" s="1"/>
  <c r="H53" i="33"/>
  <c r="C99" i="33" s="1"/>
  <c r="G53" i="33"/>
  <c r="G59" i="33" s="1"/>
  <c r="F53" i="33"/>
  <c r="F59" i="33" s="1"/>
  <c r="F66" i="33" s="1"/>
  <c r="E53" i="33"/>
  <c r="C1" i="35" s="1"/>
  <c r="D53" i="33"/>
  <c r="C79" i="33" s="1"/>
  <c r="C53" i="33"/>
  <c r="C59" i="33" s="1"/>
  <c r="C66" i="33" s="1"/>
  <c r="N44" i="33"/>
  <c r="M44" i="33"/>
  <c r="L44" i="33"/>
  <c r="K44" i="33"/>
  <c r="J44" i="33"/>
  <c r="I44" i="33"/>
  <c r="H44" i="33"/>
  <c r="G44" i="33"/>
  <c r="F44" i="33"/>
  <c r="E44" i="33"/>
  <c r="D44" i="33"/>
  <c r="C44" i="33"/>
  <c r="P42" i="33"/>
  <c r="P41" i="33"/>
  <c r="P40" i="33"/>
  <c r="P39" i="33"/>
  <c r="P38" i="33"/>
  <c r="P37" i="33"/>
  <c r="P36" i="33"/>
  <c r="P35" i="33"/>
  <c r="F27" i="33"/>
  <c r="N17" i="33" s="1"/>
  <c r="E27" i="33"/>
  <c r="M17" i="33" s="1"/>
  <c r="D26" i="33"/>
  <c r="H17" i="33" s="1"/>
  <c r="Q14" i="33"/>
  <c r="Q42" i="33" s="1"/>
  <c r="R42" i="33" s="1"/>
  <c r="P14" i="33"/>
  <c r="Q13" i="33"/>
  <c r="Q41" i="33" s="1"/>
  <c r="R41" i="33" s="1"/>
  <c r="P12" i="33"/>
  <c r="Q11" i="33"/>
  <c r="N16" i="33"/>
  <c r="F16" i="33"/>
  <c r="F17" i="33" s="1"/>
  <c r="M16" i="33"/>
  <c r="L16" i="33"/>
  <c r="F25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N56" i="32"/>
  <c r="Y13" i="41" s="1"/>
  <c r="Y17" i="41" s="1"/>
  <c r="M56" i="32"/>
  <c r="K4" i="34" s="1"/>
  <c r="L56" i="32"/>
  <c r="V14" i="41" s="1"/>
  <c r="K56" i="32"/>
  <c r="I4" i="34" s="1"/>
  <c r="J56" i="32"/>
  <c r="I56" i="32"/>
  <c r="G4" i="34" s="1"/>
  <c r="H56" i="32"/>
  <c r="F4" i="34" s="1"/>
  <c r="G56" i="32"/>
  <c r="E4" i="34" s="1"/>
  <c r="F56" i="32"/>
  <c r="I13" i="41" s="1"/>
  <c r="E56" i="32"/>
  <c r="D56" i="32"/>
  <c r="F14" i="38" s="1"/>
  <c r="C56" i="32"/>
  <c r="D14" i="41" s="1"/>
  <c r="N55" i="32"/>
  <c r="Z12" i="41" s="1"/>
  <c r="M55" i="32"/>
  <c r="L55" i="32"/>
  <c r="V12" i="38" s="1"/>
  <c r="K55" i="32"/>
  <c r="T12" i="38" s="1"/>
  <c r="J55" i="32"/>
  <c r="R12" i="41" s="1"/>
  <c r="I55" i="32"/>
  <c r="G3" i="34" s="1"/>
  <c r="H55" i="32"/>
  <c r="D100" i="32" s="1"/>
  <c r="G55" i="32"/>
  <c r="E99" i="32" s="1"/>
  <c r="F55" i="32"/>
  <c r="J12" i="41" s="1"/>
  <c r="E55" i="32"/>
  <c r="D55" i="32"/>
  <c r="D80" i="32" s="1"/>
  <c r="C55" i="32"/>
  <c r="D12" i="41" s="1"/>
  <c r="N54" i="32"/>
  <c r="Z10" i="41" s="1"/>
  <c r="Z17" i="41" s="1"/>
  <c r="M54" i="32"/>
  <c r="L54" i="32"/>
  <c r="J2" i="34" s="1"/>
  <c r="K54" i="32"/>
  <c r="I2" i="34" s="1"/>
  <c r="J54" i="32"/>
  <c r="R10" i="38" s="1"/>
  <c r="I54" i="32"/>
  <c r="H54" i="32"/>
  <c r="F2" i="34" s="1"/>
  <c r="G54" i="32"/>
  <c r="E2" i="34" s="1"/>
  <c r="F54" i="32"/>
  <c r="J10" i="38" s="1"/>
  <c r="E54" i="32"/>
  <c r="D54" i="32"/>
  <c r="C54" i="32"/>
  <c r="D10" i="41" s="1"/>
  <c r="D17" i="41" s="1"/>
  <c r="N53" i="32"/>
  <c r="M53" i="32"/>
  <c r="L53" i="32"/>
  <c r="K53" i="32"/>
  <c r="K59" i="32" s="1"/>
  <c r="C50" i="38" s="1"/>
  <c r="J53" i="32"/>
  <c r="I53" i="32"/>
  <c r="H53" i="32"/>
  <c r="G53" i="32"/>
  <c r="G59" i="32" s="1"/>
  <c r="C49" i="38" s="1"/>
  <c r="F53" i="32"/>
  <c r="E53" i="32"/>
  <c r="D53" i="32"/>
  <c r="C53" i="32"/>
  <c r="C59" i="32" s="1"/>
  <c r="C66" i="32" s="1"/>
  <c r="N44" i="32"/>
  <c r="M44" i="32"/>
  <c r="L44" i="32"/>
  <c r="K44" i="32"/>
  <c r="J44" i="32"/>
  <c r="I44" i="32"/>
  <c r="H44" i="32"/>
  <c r="G44" i="32"/>
  <c r="F44" i="32"/>
  <c r="E44" i="32"/>
  <c r="D44" i="32"/>
  <c r="C44" i="32"/>
  <c r="P42" i="32"/>
  <c r="P41" i="32"/>
  <c r="P40" i="32"/>
  <c r="P39" i="32"/>
  <c r="P38" i="32"/>
  <c r="P37" i="32"/>
  <c r="P36" i="32"/>
  <c r="P35" i="32"/>
  <c r="E25" i="32"/>
  <c r="D25" i="32"/>
  <c r="D27" i="32" s="1"/>
  <c r="L17" i="32" s="1"/>
  <c r="C25" i="32"/>
  <c r="F14" i="32"/>
  <c r="P14" i="32" s="1"/>
  <c r="E13" i="32"/>
  <c r="P13" i="32" s="1"/>
  <c r="D12" i="32"/>
  <c r="P12" i="32" s="1"/>
  <c r="C11" i="32"/>
  <c r="N10" i="32"/>
  <c r="M10" i="32"/>
  <c r="L10" i="32"/>
  <c r="K10" i="32"/>
  <c r="J10" i="32"/>
  <c r="I10" i="32"/>
  <c r="H10" i="32"/>
  <c r="G10" i="32"/>
  <c r="F10" i="32"/>
  <c r="E10" i="32"/>
  <c r="D10" i="32"/>
  <c r="C10" i="32"/>
  <c r="N9" i="32"/>
  <c r="M9" i="32"/>
  <c r="L9" i="32"/>
  <c r="K9" i="32"/>
  <c r="J9" i="32"/>
  <c r="I9" i="32"/>
  <c r="H9" i="32"/>
  <c r="G9" i="32"/>
  <c r="F9" i="32"/>
  <c r="E9" i="32"/>
  <c r="D9" i="32"/>
  <c r="C9" i="32"/>
  <c r="N8" i="32"/>
  <c r="M8" i="32"/>
  <c r="L8" i="32"/>
  <c r="K8" i="32"/>
  <c r="J8" i="32"/>
  <c r="I8" i="32"/>
  <c r="H8" i="32"/>
  <c r="G8" i="32"/>
  <c r="F8" i="32"/>
  <c r="E8" i="32"/>
  <c r="D8" i="32"/>
  <c r="C8" i="32"/>
  <c r="N7" i="32"/>
  <c r="M7" i="32"/>
  <c r="L7" i="32"/>
  <c r="L16" i="32" s="1"/>
  <c r="K7" i="32"/>
  <c r="J7" i="32"/>
  <c r="I7" i="32"/>
  <c r="H7" i="32"/>
  <c r="H16" i="32" s="1"/>
  <c r="G7" i="32"/>
  <c r="F7" i="32"/>
  <c r="F16" i="32" s="1"/>
  <c r="F17" i="32" s="1"/>
  <c r="E7" i="32"/>
  <c r="D7" i="32"/>
  <c r="D16" i="32" s="1"/>
  <c r="D17" i="32" s="1"/>
  <c r="C7" i="32"/>
  <c r="P93" i="41" l="1"/>
  <c r="H95" i="41"/>
  <c r="P92" i="41"/>
  <c r="P91" i="41"/>
  <c r="P90" i="41"/>
  <c r="AB78" i="41"/>
  <c r="M95" i="41"/>
  <c r="I95" i="41"/>
  <c r="E95" i="41"/>
  <c r="AA79" i="41"/>
  <c r="B2" i="34"/>
  <c r="E9" i="38"/>
  <c r="E9" i="41"/>
  <c r="D83" i="32"/>
  <c r="D103" i="32"/>
  <c r="H14" i="38"/>
  <c r="H14" i="41"/>
  <c r="C4" i="34"/>
  <c r="P11" i="32"/>
  <c r="Q11" i="32"/>
  <c r="E100" i="32"/>
  <c r="E105" i="32" s="1"/>
  <c r="G2" i="34"/>
  <c r="G11" i="38"/>
  <c r="C3" i="34"/>
  <c r="G11" i="41"/>
  <c r="Q12" i="32"/>
  <c r="E80" i="32"/>
  <c r="E70" i="32"/>
  <c r="C2" i="34"/>
  <c r="H10" i="38"/>
  <c r="H17" i="38" s="1"/>
  <c r="H10" i="41"/>
  <c r="X10" i="38"/>
  <c r="X10" i="41"/>
  <c r="K2" i="34"/>
  <c r="W11" i="41"/>
  <c r="W17" i="41" s="1"/>
  <c r="K3" i="34"/>
  <c r="W11" i="38"/>
  <c r="W17" i="38" s="1"/>
  <c r="X14" i="41"/>
  <c r="X14" i="38"/>
  <c r="E102" i="32"/>
  <c r="X17" i="38"/>
  <c r="P7" i="36"/>
  <c r="P10" i="36"/>
  <c r="D16" i="36"/>
  <c r="D14" i="38"/>
  <c r="F12" i="38"/>
  <c r="F17" i="38" s="1"/>
  <c r="I13" i="38"/>
  <c r="J12" i="38"/>
  <c r="J17" i="38" s="1"/>
  <c r="R12" i="38"/>
  <c r="R17" i="38" s="1"/>
  <c r="T14" i="38"/>
  <c r="V14" i="38"/>
  <c r="Z12" i="38"/>
  <c r="F69" i="32"/>
  <c r="F70" i="32"/>
  <c r="F79" i="32"/>
  <c r="F80" i="32"/>
  <c r="F99" i="32"/>
  <c r="F100" i="32"/>
  <c r="R10" i="41"/>
  <c r="R17" i="41" s="1"/>
  <c r="F12" i="41"/>
  <c r="F17" i="41" s="1"/>
  <c r="F14" i="41"/>
  <c r="AB9" i="38"/>
  <c r="Y13" i="38"/>
  <c r="Y17" i="38" s="1"/>
  <c r="C70" i="32"/>
  <c r="C86" i="32" s="1"/>
  <c r="C80" i="32"/>
  <c r="C100" i="32"/>
  <c r="C92" i="32"/>
  <c r="J10" i="41"/>
  <c r="J17" i="41" s="1"/>
  <c r="T10" i="41"/>
  <c r="T12" i="41"/>
  <c r="T14" i="41"/>
  <c r="Q13" i="32"/>
  <c r="J4" i="34"/>
  <c r="B4" i="34"/>
  <c r="J3" i="34"/>
  <c r="F3" i="34"/>
  <c r="B3" i="34"/>
  <c r="P14" i="36"/>
  <c r="P13" i="36"/>
  <c r="N16" i="36"/>
  <c r="J16" i="36"/>
  <c r="F16" i="36"/>
  <c r="D10" i="38"/>
  <c r="L10" i="38"/>
  <c r="T10" i="38"/>
  <c r="T17" i="38" s="1"/>
  <c r="V17" i="38"/>
  <c r="D69" i="32"/>
  <c r="D70" i="32"/>
  <c r="D41" i="38" s="1"/>
  <c r="D79" i="32"/>
  <c r="D99" i="32"/>
  <c r="AB7" i="41"/>
  <c r="AB8" i="41"/>
  <c r="X17" i="41"/>
  <c r="AB9" i="41"/>
  <c r="L10" i="41"/>
  <c r="AB10" i="41" s="1"/>
  <c r="L12" i="41"/>
  <c r="V12" i="41"/>
  <c r="V17" i="41" s="1"/>
  <c r="AB14" i="41"/>
  <c r="AB15" i="41"/>
  <c r="AC15" i="41" s="1"/>
  <c r="AC77" i="41" s="1"/>
  <c r="AD77" i="41" s="1"/>
  <c r="Q14" i="32"/>
  <c r="A4" i="34"/>
  <c r="I3" i="34"/>
  <c r="E3" i="34"/>
  <c r="A3" i="34"/>
  <c r="A2" i="34"/>
  <c r="P11" i="36"/>
  <c r="M16" i="36"/>
  <c r="D12" i="38"/>
  <c r="L12" i="38"/>
  <c r="Z10" i="38"/>
  <c r="Z17" i="38" s="1"/>
  <c r="E69" i="32"/>
  <c r="E79" i="32"/>
  <c r="E27" i="36"/>
  <c r="D70" i="33"/>
  <c r="F80" i="33"/>
  <c r="F1" i="35"/>
  <c r="B1" i="35"/>
  <c r="A5" i="35"/>
  <c r="C27" i="36"/>
  <c r="C36" i="36" s="1"/>
  <c r="G17" i="36" s="1"/>
  <c r="F100" i="33"/>
  <c r="F103" i="33" s="1"/>
  <c r="A1" i="35"/>
  <c r="I1" i="35"/>
  <c r="E1" i="35"/>
  <c r="D2" i="35"/>
  <c r="C69" i="33"/>
  <c r="C89" i="33" s="1"/>
  <c r="D100" i="33"/>
  <c r="D1" i="35"/>
  <c r="D65" i="33"/>
  <c r="D73" i="33" s="1"/>
  <c r="E80" i="33"/>
  <c r="E100" i="33"/>
  <c r="E103" i="33" s="1"/>
  <c r="F85" i="33"/>
  <c r="P56" i="33"/>
  <c r="P8" i="33"/>
  <c r="P10" i="33"/>
  <c r="P15" i="33" s="1"/>
  <c r="C26" i="33"/>
  <c r="G17" i="33" s="1"/>
  <c r="G45" i="33" s="1"/>
  <c r="G46" i="33" s="1"/>
  <c r="F27" i="36"/>
  <c r="C70" i="33"/>
  <c r="C80" i="33"/>
  <c r="C85" i="33" s="1"/>
  <c r="F99" i="33"/>
  <c r="D69" i="33"/>
  <c r="D79" i="33"/>
  <c r="D80" i="33"/>
  <c r="C105" i="33"/>
  <c r="C100" i="33"/>
  <c r="C103" i="33" s="1"/>
  <c r="F3" i="35"/>
  <c r="B3" i="35"/>
  <c r="D27" i="36"/>
  <c r="Q12" i="36" s="1"/>
  <c r="Q52" i="36" s="1"/>
  <c r="R52" i="36" s="1"/>
  <c r="E69" i="33"/>
  <c r="E70" i="33"/>
  <c r="E90" i="33" s="1"/>
  <c r="E93" i="33" s="1"/>
  <c r="E79" i="33"/>
  <c r="E86" i="33" s="1"/>
  <c r="D99" i="33"/>
  <c r="D105" i="33" s="1"/>
  <c r="A4" i="35"/>
  <c r="E3" i="35"/>
  <c r="A3" i="35"/>
  <c r="F69" i="33"/>
  <c r="F75" i="33" s="1"/>
  <c r="F70" i="33"/>
  <c r="F79" i="33"/>
  <c r="F81" i="33" s="1"/>
  <c r="F84" i="33" s="1"/>
  <c r="L17" i="41"/>
  <c r="S17" i="41"/>
  <c r="N17" i="41"/>
  <c r="U17" i="41"/>
  <c r="AB11" i="41"/>
  <c r="AB13" i="41"/>
  <c r="C17" i="41"/>
  <c r="G17" i="41"/>
  <c r="E48" i="41"/>
  <c r="E57" i="41"/>
  <c r="E58" i="41" s="1"/>
  <c r="H17" i="41"/>
  <c r="F48" i="41"/>
  <c r="F57" i="41"/>
  <c r="F58" i="41" s="1"/>
  <c r="P89" i="41"/>
  <c r="P94" i="41" s="1"/>
  <c r="E17" i="41"/>
  <c r="I17" i="41"/>
  <c r="C48" i="41"/>
  <c r="C57" i="41"/>
  <c r="C58" i="41" s="1"/>
  <c r="D48" i="41"/>
  <c r="D57" i="41"/>
  <c r="D58" i="41" s="1"/>
  <c r="AD72" i="38"/>
  <c r="P88" i="38"/>
  <c r="P87" i="38"/>
  <c r="P86" i="38"/>
  <c r="P85" i="38"/>
  <c r="M90" i="38"/>
  <c r="L90" i="38"/>
  <c r="I90" i="38"/>
  <c r="H90" i="38"/>
  <c r="E90" i="38"/>
  <c r="AA74" i="38"/>
  <c r="D90" i="38"/>
  <c r="AB73" i="38"/>
  <c r="C108" i="33"/>
  <c r="C92" i="33"/>
  <c r="C71" i="33"/>
  <c r="C72" i="33"/>
  <c r="C73" i="33"/>
  <c r="C75" i="33"/>
  <c r="C82" i="33"/>
  <c r="C101" i="33"/>
  <c r="C104" i="33" s="1"/>
  <c r="C102" i="33"/>
  <c r="D71" i="33"/>
  <c r="D89" i="33"/>
  <c r="E71" i="33"/>
  <c r="E72" i="33"/>
  <c r="E83" i="33"/>
  <c r="E102" i="33"/>
  <c r="D81" i="33"/>
  <c r="D84" i="33" s="1"/>
  <c r="F73" i="33"/>
  <c r="F83" i="33"/>
  <c r="C108" i="32"/>
  <c r="C71" i="32"/>
  <c r="C81" i="32"/>
  <c r="C84" i="32" s="1"/>
  <c r="C101" i="32"/>
  <c r="C104" i="32" s="1"/>
  <c r="D101" i="32"/>
  <c r="D104" i="32" s="1"/>
  <c r="D71" i="32"/>
  <c r="D86" i="32"/>
  <c r="E71" i="32"/>
  <c r="E81" i="32"/>
  <c r="E84" i="32" s="1"/>
  <c r="E101" i="32"/>
  <c r="E104" i="32" s="1"/>
  <c r="F71" i="32"/>
  <c r="F81" i="32"/>
  <c r="F84" i="32" s="1"/>
  <c r="F101" i="32"/>
  <c r="F104" i="32" s="1"/>
  <c r="U17" i="38"/>
  <c r="AB14" i="38"/>
  <c r="C17" i="38"/>
  <c r="G17" i="38"/>
  <c r="D17" i="38"/>
  <c r="P84" i="38"/>
  <c r="AB8" i="38"/>
  <c r="E17" i="38"/>
  <c r="I17" i="38"/>
  <c r="C52" i="38"/>
  <c r="C53" i="38" s="1"/>
  <c r="K71" i="36"/>
  <c r="P69" i="36"/>
  <c r="P68" i="36"/>
  <c r="P67" i="36"/>
  <c r="P55" i="36"/>
  <c r="G71" i="36"/>
  <c r="P66" i="36"/>
  <c r="N71" i="36"/>
  <c r="J71" i="36"/>
  <c r="O56" i="36"/>
  <c r="F71" i="36"/>
  <c r="P65" i="36"/>
  <c r="I16" i="36"/>
  <c r="G16" i="36"/>
  <c r="K16" i="36"/>
  <c r="O16" i="36" s="1"/>
  <c r="E31" i="36"/>
  <c r="E17" i="36" s="1"/>
  <c r="Q13" i="36"/>
  <c r="E36" i="36"/>
  <c r="I17" i="36" s="1"/>
  <c r="F31" i="36"/>
  <c r="F17" i="36" s="1"/>
  <c r="Q11" i="36"/>
  <c r="C37" i="36"/>
  <c r="K17" i="36" s="1"/>
  <c r="C31" i="36"/>
  <c r="C17" i="36" s="1"/>
  <c r="E37" i="36"/>
  <c r="M17" i="36" s="1"/>
  <c r="C71" i="36"/>
  <c r="P9" i="36"/>
  <c r="P15" i="36" s="1"/>
  <c r="P57" i="33"/>
  <c r="P43" i="33"/>
  <c r="P54" i="33"/>
  <c r="O44" i="33"/>
  <c r="M59" i="33"/>
  <c r="L59" i="33"/>
  <c r="I59" i="33"/>
  <c r="H59" i="33"/>
  <c r="E59" i="33"/>
  <c r="E66" i="33" s="1"/>
  <c r="E85" i="33" s="1"/>
  <c r="D59" i="33"/>
  <c r="D66" i="33" s="1"/>
  <c r="R12" i="33"/>
  <c r="Q40" i="33"/>
  <c r="R40" i="33" s="1"/>
  <c r="R11" i="33"/>
  <c r="H18" i="33"/>
  <c r="H45" i="33"/>
  <c r="H46" i="33" s="1"/>
  <c r="Q8" i="33"/>
  <c r="D45" i="33"/>
  <c r="D46" i="33" s="1"/>
  <c r="D18" i="33"/>
  <c r="E45" i="33"/>
  <c r="E46" i="33" s="1"/>
  <c r="E18" i="33"/>
  <c r="Q9" i="33"/>
  <c r="M45" i="33"/>
  <c r="M46" i="33" s="1"/>
  <c r="M18" i="33"/>
  <c r="F45" i="33"/>
  <c r="F46" i="33" s="1"/>
  <c r="F18" i="33"/>
  <c r="Q10" i="33"/>
  <c r="N45" i="33"/>
  <c r="N46" i="33" s="1"/>
  <c r="N18" i="33"/>
  <c r="G18" i="33"/>
  <c r="C27" i="33"/>
  <c r="K17" i="33" s="1"/>
  <c r="C16" i="33"/>
  <c r="D27" i="33"/>
  <c r="L17" i="33" s="1"/>
  <c r="Q39" i="33"/>
  <c r="R39" i="33" s="1"/>
  <c r="R14" i="33"/>
  <c r="P53" i="33"/>
  <c r="R13" i="33"/>
  <c r="E26" i="33"/>
  <c r="I17" i="33" s="1"/>
  <c r="F26" i="33"/>
  <c r="J17" i="33" s="1"/>
  <c r="D26" i="32"/>
  <c r="H17" i="32" s="1"/>
  <c r="C26" i="32"/>
  <c r="G17" i="32" s="1"/>
  <c r="F26" i="32"/>
  <c r="J17" i="32" s="1"/>
  <c r="E27" i="32"/>
  <c r="M17" i="32" s="1"/>
  <c r="E26" i="32"/>
  <c r="I17" i="32" s="1"/>
  <c r="C27" i="32"/>
  <c r="K17" i="32" s="1"/>
  <c r="F27" i="32"/>
  <c r="N17" i="32" s="1"/>
  <c r="P43" i="32"/>
  <c r="O44" i="32"/>
  <c r="P54" i="32"/>
  <c r="P55" i="32"/>
  <c r="P56" i="32"/>
  <c r="H59" i="32"/>
  <c r="D49" i="38" s="1"/>
  <c r="D52" i="38" s="1"/>
  <c r="D53" i="38" s="1"/>
  <c r="L59" i="32"/>
  <c r="D50" i="38" s="1"/>
  <c r="P10" i="32"/>
  <c r="E59" i="32"/>
  <c r="E66" i="32" s="1"/>
  <c r="I59" i="32"/>
  <c r="E49" i="38" s="1"/>
  <c r="E52" i="38" s="1"/>
  <c r="E53" i="38" s="1"/>
  <c r="M59" i="32"/>
  <c r="E50" i="38" s="1"/>
  <c r="E16" i="32"/>
  <c r="E17" i="32" s="1"/>
  <c r="I16" i="32"/>
  <c r="M16" i="32"/>
  <c r="J16" i="32"/>
  <c r="N16" i="32"/>
  <c r="D59" i="32"/>
  <c r="D66" i="32" s="1"/>
  <c r="D85" i="32" s="1"/>
  <c r="P8" i="32"/>
  <c r="R14" i="32"/>
  <c r="Q42" i="32"/>
  <c r="R42" i="32" s="1"/>
  <c r="P57" i="32"/>
  <c r="C16" i="32"/>
  <c r="C17" i="32" s="1"/>
  <c r="G16" i="32"/>
  <c r="K16" i="32"/>
  <c r="P7" i="32"/>
  <c r="P9" i="32"/>
  <c r="F59" i="32"/>
  <c r="F66" i="32" s="1"/>
  <c r="J59" i="32"/>
  <c r="F49" i="38" s="1"/>
  <c r="F52" i="38" s="1"/>
  <c r="F53" i="38" s="1"/>
  <c r="N59" i="32"/>
  <c r="F50" i="38" s="1"/>
  <c r="P53" i="32"/>
  <c r="D47" i="30"/>
  <c r="E47" i="30"/>
  <c r="F47" i="30"/>
  <c r="C47" i="30"/>
  <c r="O95" i="41" l="1"/>
  <c r="D76" i="32"/>
  <c r="D74" i="32"/>
  <c r="D31" i="38"/>
  <c r="C31" i="38"/>
  <c r="C76" i="32"/>
  <c r="C74" i="32"/>
  <c r="C111" i="32"/>
  <c r="E89" i="32"/>
  <c r="E75" i="32"/>
  <c r="E72" i="32"/>
  <c r="E25" i="41"/>
  <c r="D89" i="32"/>
  <c r="D25" i="41"/>
  <c r="D75" i="32"/>
  <c r="D72" i="32"/>
  <c r="AB10" i="38"/>
  <c r="F42" i="38"/>
  <c r="F103" i="32"/>
  <c r="F90" i="32"/>
  <c r="F73" i="32"/>
  <c r="D42" i="38"/>
  <c r="D105" i="32"/>
  <c r="D102" i="32"/>
  <c r="C90" i="32"/>
  <c r="C75" i="32"/>
  <c r="C73" i="32"/>
  <c r="C25" i="41"/>
  <c r="F105" i="32"/>
  <c r="F102" i="32"/>
  <c r="F89" i="32"/>
  <c r="F25" i="41"/>
  <c r="F27" i="41" s="1"/>
  <c r="F36" i="41" s="1"/>
  <c r="F75" i="32"/>
  <c r="F72" i="32"/>
  <c r="E90" i="32"/>
  <c r="E73" i="32"/>
  <c r="E42" i="38"/>
  <c r="E103" i="32"/>
  <c r="E31" i="38"/>
  <c r="E76" i="32"/>
  <c r="E74" i="32"/>
  <c r="D81" i="32"/>
  <c r="D84" i="32" s="1"/>
  <c r="D82" i="32"/>
  <c r="T17" i="41"/>
  <c r="C42" i="38"/>
  <c r="C105" i="32"/>
  <c r="C103" i="32"/>
  <c r="F85" i="32"/>
  <c r="F41" i="38"/>
  <c r="F83" i="32"/>
  <c r="E85" i="32"/>
  <c r="E41" i="38"/>
  <c r="E83" i="32"/>
  <c r="F31" i="38"/>
  <c r="F76" i="32"/>
  <c r="F74" i="32"/>
  <c r="E86" i="32"/>
  <c r="E82" i="32"/>
  <c r="AB12" i="38"/>
  <c r="AB12" i="41"/>
  <c r="AB16" i="41" s="1"/>
  <c r="D90" i="32"/>
  <c r="D73" i="32"/>
  <c r="L17" i="38"/>
  <c r="C85" i="32"/>
  <c r="C41" i="38"/>
  <c r="C83" i="32"/>
  <c r="F86" i="32"/>
  <c r="F82" i="32"/>
  <c r="AB13" i="38"/>
  <c r="AB11" i="38"/>
  <c r="AB16" i="38" s="1"/>
  <c r="E82" i="33"/>
  <c r="C81" i="33"/>
  <c r="C84" i="33" s="1"/>
  <c r="F105" i="33"/>
  <c r="E105" i="33"/>
  <c r="D72" i="33"/>
  <c r="R12" i="36"/>
  <c r="E81" i="33"/>
  <c r="E84" i="33" s="1"/>
  <c r="E96" i="33"/>
  <c r="D103" i="33"/>
  <c r="F102" i="33"/>
  <c r="F71" i="33"/>
  <c r="F76" i="33" s="1"/>
  <c r="E101" i="33"/>
  <c r="E104" i="33" s="1"/>
  <c r="E73" i="33"/>
  <c r="E109" i="33"/>
  <c r="E112" i="33" s="1"/>
  <c r="F90" i="33"/>
  <c r="Q14" i="36"/>
  <c r="F37" i="36"/>
  <c r="F36" i="36"/>
  <c r="J17" i="36" s="1"/>
  <c r="F89" i="33"/>
  <c r="F27" i="38"/>
  <c r="F28" i="38" s="1"/>
  <c r="F32" i="38" s="1"/>
  <c r="D37" i="36"/>
  <c r="L17" i="36" s="1"/>
  <c r="F101" i="33"/>
  <c r="F104" i="33" s="1"/>
  <c r="D102" i="33"/>
  <c r="D85" i="33"/>
  <c r="P58" i="33"/>
  <c r="D36" i="36"/>
  <c r="H17" i="36" s="1"/>
  <c r="H18" i="36" s="1"/>
  <c r="D101" i="33"/>
  <c r="D104" i="33" s="1"/>
  <c r="D83" i="33"/>
  <c r="F86" i="33"/>
  <c r="D86" i="33"/>
  <c r="C86" i="33"/>
  <c r="D90" i="33"/>
  <c r="D95" i="33" s="1"/>
  <c r="D31" i="36"/>
  <c r="D17" i="36" s="1"/>
  <c r="D57" i="36" s="1"/>
  <c r="D58" i="36" s="1"/>
  <c r="F82" i="33"/>
  <c r="F72" i="33"/>
  <c r="D82" i="33"/>
  <c r="C83" i="33"/>
  <c r="E75" i="33"/>
  <c r="E27" i="38"/>
  <c r="E28" i="38" s="1"/>
  <c r="E89" i="33"/>
  <c r="D75" i="33"/>
  <c r="D27" i="38"/>
  <c r="D28" i="38" s="1"/>
  <c r="D32" i="38" s="1"/>
  <c r="C90" i="33"/>
  <c r="C27" i="38"/>
  <c r="C28" i="38" s="1"/>
  <c r="C32" i="38" s="1"/>
  <c r="F37" i="41"/>
  <c r="F49" i="41" s="1"/>
  <c r="R18" i="41" s="1"/>
  <c r="R80" i="41" s="1"/>
  <c r="R81" i="41" s="1"/>
  <c r="F50" i="41"/>
  <c r="Z18" i="41" s="1"/>
  <c r="Z80" i="41" s="1"/>
  <c r="Z81" i="41" s="1"/>
  <c r="F31" i="41"/>
  <c r="F32" i="41" s="1"/>
  <c r="AA17" i="41"/>
  <c r="P89" i="38"/>
  <c r="O90" i="38"/>
  <c r="D108" i="33"/>
  <c r="D92" i="33"/>
  <c r="C76" i="33"/>
  <c r="C74" i="33"/>
  <c r="C111" i="33"/>
  <c r="E76" i="33"/>
  <c r="E74" i="33"/>
  <c r="D76" i="33"/>
  <c r="D74" i="33"/>
  <c r="AA17" i="38"/>
  <c r="F33" i="38"/>
  <c r="P56" i="36"/>
  <c r="O71" i="36"/>
  <c r="P70" i="36"/>
  <c r="P16" i="36"/>
  <c r="M57" i="36"/>
  <c r="M58" i="36" s="1"/>
  <c r="M18" i="36"/>
  <c r="C18" i="36"/>
  <c r="Q7" i="36"/>
  <c r="C57" i="36"/>
  <c r="K18" i="36"/>
  <c r="K57" i="36"/>
  <c r="K58" i="36" s="1"/>
  <c r="I57" i="36"/>
  <c r="I58" i="36" s="1"/>
  <c r="I18" i="36"/>
  <c r="D18" i="36"/>
  <c r="Q8" i="36"/>
  <c r="Q10" i="36"/>
  <c r="F18" i="36"/>
  <c r="F57" i="36"/>
  <c r="F58" i="36" s="1"/>
  <c r="Q53" i="36"/>
  <c r="R53" i="36" s="1"/>
  <c r="R13" i="36"/>
  <c r="G18" i="36"/>
  <c r="G57" i="36"/>
  <c r="G58" i="36" s="1"/>
  <c r="Q51" i="36"/>
  <c r="R51" i="36" s="1"/>
  <c r="R11" i="36"/>
  <c r="E57" i="36"/>
  <c r="E58" i="36" s="1"/>
  <c r="E18" i="36"/>
  <c r="Q9" i="36"/>
  <c r="P44" i="33"/>
  <c r="O59" i="33"/>
  <c r="Q37" i="33"/>
  <c r="R37" i="33" s="1"/>
  <c r="R9" i="33"/>
  <c r="J45" i="33"/>
  <c r="J46" i="33" s="1"/>
  <c r="J18" i="33"/>
  <c r="I45" i="33"/>
  <c r="I46" i="33" s="1"/>
  <c r="I18" i="33"/>
  <c r="R8" i="33"/>
  <c r="Q36" i="33"/>
  <c r="R36" i="33" s="1"/>
  <c r="L45" i="33"/>
  <c r="L46" i="33" s="1"/>
  <c r="L18" i="33"/>
  <c r="K18" i="33"/>
  <c r="K45" i="33"/>
  <c r="K46" i="33" s="1"/>
  <c r="C17" i="33"/>
  <c r="O16" i="33"/>
  <c r="P16" i="33" s="1"/>
  <c r="Q38" i="33"/>
  <c r="R38" i="33" s="1"/>
  <c r="R10" i="33"/>
  <c r="P44" i="32"/>
  <c r="O59" i="32"/>
  <c r="P15" i="32"/>
  <c r="P58" i="32"/>
  <c r="K18" i="32"/>
  <c r="K45" i="32"/>
  <c r="K46" i="32" s="1"/>
  <c r="Q41" i="32"/>
  <c r="R41" i="32" s="1"/>
  <c r="R13" i="32"/>
  <c r="D18" i="32"/>
  <c r="D45" i="32"/>
  <c r="D46" i="32" s="1"/>
  <c r="Q8" i="32"/>
  <c r="F45" i="32"/>
  <c r="F46" i="32" s="1"/>
  <c r="Q10" i="32"/>
  <c r="F18" i="32"/>
  <c r="E18" i="32"/>
  <c r="Q9" i="32"/>
  <c r="E45" i="32"/>
  <c r="E46" i="32" s="1"/>
  <c r="I18" i="32"/>
  <c r="I45" i="32"/>
  <c r="I46" i="32" s="1"/>
  <c r="O16" i="32"/>
  <c r="M18" i="32"/>
  <c r="M45" i="32"/>
  <c r="M46" i="32" s="1"/>
  <c r="F54" i="30"/>
  <c r="E54" i="30"/>
  <c r="D54" i="30"/>
  <c r="C54" i="30"/>
  <c r="F53" i="30"/>
  <c r="E53" i="30"/>
  <c r="D53" i="30"/>
  <c r="C53" i="30"/>
  <c r="F43" i="30"/>
  <c r="E43" i="30"/>
  <c r="D43" i="30"/>
  <c r="C43" i="30"/>
  <c r="F41" i="30"/>
  <c r="E41" i="30"/>
  <c r="D41" i="30"/>
  <c r="C41" i="30"/>
  <c r="D35" i="30"/>
  <c r="E35" i="30"/>
  <c r="F35" i="30"/>
  <c r="C35" i="30"/>
  <c r="D30" i="30"/>
  <c r="E30" i="30"/>
  <c r="F30" i="30"/>
  <c r="C30" i="30"/>
  <c r="D55" i="19"/>
  <c r="E55" i="19"/>
  <c r="F55" i="19"/>
  <c r="F26" i="30" s="1"/>
  <c r="C55" i="19"/>
  <c r="C26" i="30" s="1"/>
  <c r="E26" i="30"/>
  <c r="D26" i="30"/>
  <c r="F25" i="30"/>
  <c r="E25" i="30"/>
  <c r="D25" i="30"/>
  <c r="C25" i="30"/>
  <c r="F46" i="10"/>
  <c r="E46" i="10"/>
  <c r="D46" i="10"/>
  <c r="C46" i="10"/>
  <c r="F45" i="10"/>
  <c r="E45" i="10"/>
  <c r="D45" i="10"/>
  <c r="C45" i="10"/>
  <c r="D37" i="10"/>
  <c r="E37" i="10"/>
  <c r="F37" i="10"/>
  <c r="D38" i="10"/>
  <c r="E38" i="10"/>
  <c r="F38" i="10"/>
  <c r="D39" i="10"/>
  <c r="E39" i="10"/>
  <c r="F39" i="10"/>
  <c r="C38" i="10"/>
  <c r="C39" i="10"/>
  <c r="C37" i="10"/>
  <c r="F31" i="10"/>
  <c r="F32" i="10" s="1"/>
  <c r="E31" i="10"/>
  <c r="E32" i="10" s="1"/>
  <c r="D31" i="10"/>
  <c r="D32" i="10" s="1"/>
  <c r="C31" i="10"/>
  <c r="C32" i="10" s="1"/>
  <c r="D27" i="10"/>
  <c r="D28" i="10" s="1"/>
  <c r="D47" i="10" s="1"/>
  <c r="E27" i="10"/>
  <c r="E28" i="10" s="1"/>
  <c r="E47" i="10" s="1"/>
  <c r="F27" i="10"/>
  <c r="F28" i="10" s="1"/>
  <c r="F47" i="10" s="1"/>
  <c r="C27" i="10"/>
  <c r="C28" i="10" s="1"/>
  <c r="C47" i="10" s="1"/>
  <c r="F26" i="10"/>
  <c r="E26" i="10"/>
  <c r="D26" i="10"/>
  <c r="C26" i="10"/>
  <c r="I15" i="10"/>
  <c r="G15" i="10"/>
  <c r="E15" i="10"/>
  <c r="C15" i="10"/>
  <c r="X14" i="10"/>
  <c r="V14" i="10"/>
  <c r="T14" i="10"/>
  <c r="P14" i="10"/>
  <c r="N14" i="10"/>
  <c r="L14" i="10"/>
  <c r="H14" i="10"/>
  <c r="F14" i="10"/>
  <c r="D14" i="10"/>
  <c r="Y13" i="10"/>
  <c r="Q13" i="10"/>
  <c r="I13" i="10"/>
  <c r="Z12" i="10"/>
  <c r="V12" i="10"/>
  <c r="T12" i="10"/>
  <c r="R12" i="10"/>
  <c r="N12" i="10"/>
  <c r="L12" i="10"/>
  <c r="J12" i="10"/>
  <c r="F12" i="10"/>
  <c r="D12" i="10"/>
  <c r="W11" i="10"/>
  <c r="O11" i="10"/>
  <c r="G11" i="10"/>
  <c r="Z10" i="10"/>
  <c r="X10" i="10"/>
  <c r="T10" i="10"/>
  <c r="R10" i="10"/>
  <c r="P10" i="10"/>
  <c r="L10" i="10"/>
  <c r="J10" i="10"/>
  <c r="H10" i="10"/>
  <c r="D10" i="10"/>
  <c r="U9" i="10"/>
  <c r="M9" i="10"/>
  <c r="E9" i="10"/>
  <c r="Z8" i="10"/>
  <c r="X8" i="10"/>
  <c r="V8" i="10"/>
  <c r="R8" i="10"/>
  <c r="P8" i="10"/>
  <c r="N8" i="10"/>
  <c r="J8" i="10"/>
  <c r="H8" i="10"/>
  <c r="F8" i="10"/>
  <c r="S7" i="10"/>
  <c r="K7" i="10"/>
  <c r="C7" i="10"/>
  <c r="I15" i="30"/>
  <c r="G15" i="30"/>
  <c r="E15" i="30"/>
  <c r="C15" i="30"/>
  <c r="X14" i="30"/>
  <c r="V14" i="30"/>
  <c r="T14" i="30"/>
  <c r="P14" i="30"/>
  <c r="N14" i="30"/>
  <c r="L14" i="30"/>
  <c r="H14" i="30"/>
  <c r="F14" i="30"/>
  <c r="D14" i="30"/>
  <c r="Y13" i="30"/>
  <c r="Q13" i="30"/>
  <c r="I13" i="30"/>
  <c r="Z12" i="30"/>
  <c r="V12" i="30"/>
  <c r="T12" i="30"/>
  <c r="R12" i="30"/>
  <c r="N12" i="30"/>
  <c r="L12" i="30"/>
  <c r="J12" i="30"/>
  <c r="F12" i="30"/>
  <c r="D12" i="30"/>
  <c r="W11" i="30"/>
  <c r="O11" i="30"/>
  <c r="G11" i="30"/>
  <c r="Z10" i="30"/>
  <c r="X10" i="30"/>
  <c r="T10" i="30"/>
  <c r="R10" i="30"/>
  <c r="P10" i="30"/>
  <c r="L10" i="30"/>
  <c r="J10" i="30"/>
  <c r="H10" i="30"/>
  <c r="D10" i="30"/>
  <c r="U9" i="30"/>
  <c r="M9" i="30"/>
  <c r="E9" i="30"/>
  <c r="Z8" i="30"/>
  <c r="X8" i="30"/>
  <c r="V8" i="30"/>
  <c r="R8" i="30"/>
  <c r="P8" i="30"/>
  <c r="N8" i="30"/>
  <c r="J8" i="30"/>
  <c r="H8" i="30"/>
  <c r="F8" i="30"/>
  <c r="S7" i="30"/>
  <c r="K7" i="30"/>
  <c r="C7" i="30"/>
  <c r="C93" i="32" l="1"/>
  <c r="C91" i="32"/>
  <c r="C94" i="32" s="1"/>
  <c r="C109" i="32"/>
  <c r="C96" i="32"/>
  <c r="C95" i="32"/>
  <c r="D27" i="41"/>
  <c r="H57" i="36"/>
  <c r="H58" i="36" s="1"/>
  <c r="E32" i="38"/>
  <c r="E33" i="38" s="1"/>
  <c r="E34" i="38" s="1"/>
  <c r="D93" i="32"/>
  <c r="D109" i="32"/>
  <c r="D96" i="32"/>
  <c r="C27" i="41"/>
  <c r="C31" i="41" s="1"/>
  <c r="D95" i="32"/>
  <c r="D92" i="32"/>
  <c r="D91" i="32"/>
  <c r="D94" i="32" s="1"/>
  <c r="D108" i="32"/>
  <c r="E95" i="32"/>
  <c r="E92" i="32"/>
  <c r="E91" i="32"/>
  <c r="E94" i="32" s="1"/>
  <c r="E108" i="32"/>
  <c r="E93" i="32"/>
  <c r="E109" i="32"/>
  <c r="E96" i="32"/>
  <c r="F95" i="32"/>
  <c r="F92" i="32"/>
  <c r="F91" i="32"/>
  <c r="F94" i="32" s="1"/>
  <c r="F108" i="32"/>
  <c r="F93" i="32"/>
  <c r="F109" i="32"/>
  <c r="F96" i="32"/>
  <c r="E27" i="41"/>
  <c r="E31" i="41" s="1"/>
  <c r="F74" i="33"/>
  <c r="C33" i="38"/>
  <c r="C34" i="38" s="1"/>
  <c r="D91" i="33"/>
  <c r="D94" i="33" s="1"/>
  <c r="F93" i="33"/>
  <c r="F109" i="33"/>
  <c r="F112" i="33" s="1"/>
  <c r="F96" i="33"/>
  <c r="D33" i="38"/>
  <c r="C91" i="33"/>
  <c r="C94" i="33" s="1"/>
  <c r="C95" i="33"/>
  <c r="C96" i="33"/>
  <c r="C93" i="33"/>
  <c r="C109" i="33"/>
  <c r="F92" i="33"/>
  <c r="F91" i="33"/>
  <c r="F94" i="33" s="1"/>
  <c r="F108" i="33"/>
  <c r="F95" i="33"/>
  <c r="L18" i="36"/>
  <c r="L57" i="36"/>
  <c r="L58" i="36" s="1"/>
  <c r="E108" i="33"/>
  <c r="E91" i="33"/>
  <c r="E94" i="33" s="1"/>
  <c r="E95" i="33"/>
  <c r="E92" i="33"/>
  <c r="D109" i="33"/>
  <c r="D112" i="33" s="1"/>
  <c r="D96" i="33"/>
  <c r="D93" i="33"/>
  <c r="Q54" i="36"/>
  <c r="R54" i="36" s="1"/>
  <c r="R14" i="36"/>
  <c r="J18" i="41"/>
  <c r="J80" i="41" s="1"/>
  <c r="J81" i="41" s="1"/>
  <c r="F42" i="41"/>
  <c r="F44" i="41" s="1"/>
  <c r="I18" i="41" s="1"/>
  <c r="I80" i="41" s="1"/>
  <c r="I81" i="41" s="1"/>
  <c r="F38" i="41"/>
  <c r="AC14" i="41" s="1"/>
  <c r="AC76" i="41" s="1"/>
  <c r="AD76" i="41" s="1"/>
  <c r="D111" i="33"/>
  <c r="F34" i="38"/>
  <c r="D34" i="38"/>
  <c r="N17" i="36"/>
  <c r="O17" i="36" s="1"/>
  <c r="R7" i="36"/>
  <c r="Q47" i="36"/>
  <c r="Q15" i="36"/>
  <c r="R8" i="36"/>
  <c r="Q48" i="36"/>
  <c r="R48" i="36" s="1"/>
  <c r="Q50" i="36"/>
  <c r="R50" i="36" s="1"/>
  <c r="R10" i="36"/>
  <c r="R9" i="36"/>
  <c r="Q49" i="36"/>
  <c r="R49" i="36" s="1"/>
  <c r="J18" i="36"/>
  <c r="J57" i="36"/>
  <c r="J58" i="36" s="1"/>
  <c r="C58" i="36"/>
  <c r="O17" i="33"/>
  <c r="C18" i="33"/>
  <c r="C45" i="33"/>
  <c r="Q7" i="33"/>
  <c r="P16" i="32"/>
  <c r="Q37" i="32"/>
  <c r="R37" i="32" s="1"/>
  <c r="R9" i="32"/>
  <c r="R12" i="32"/>
  <c r="Q40" i="32"/>
  <c r="R40" i="32" s="1"/>
  <c r="Q36" i="32"/>
  <c r="R36" i="32" s="1"/>
  <c r="R8" i="32"/>
  <c r="H18" i="32"/>
  <c r="H45" i="32"/>
  <c r="H46" i="32" s="1"/>
  <c r="R10" i="32"/>
  <c r="Q38" i="32"/>
  <c r="R38" i="32" s="1"/>
  <c r="G18" i="32"/>
  <c r="G45" i="32"/>
  <c r="G46" i="32" s="1"/>
  <c r="L18" i="32"/>
  <c r="L45" i="32"/>
  <c r="L46" i="32" s="1"/>
  <c r="C18" i="32"/>
  <c r="C45" i="32"/>
  <c r="Q7" i="32"/>
  <c r="R11" i="32"/>
  <c r="Q39" i="32"/>
  <c r="R39" i="32" s="1"/>
  <c r="D27" i="24"/>
  <c r="D28" i="24" s="1"/>
  <c r="E27" i="24"/>
  <c r="E28" i="24" s="1"/>
  <c r="F27" i="24"/>
  <c r="F28" i="24" s="1"/>
  <c r="C27" i="24"/>
  <c r="C28" i="24" s="1"/>
  <c r="D31" i="24"/>
  <c r="E31" i="24"/>
  <c r="F31" i="24"/>
  <c r="C31" i="24"/>
  <c r="I15" i="24"/>
  <c r="G15" i="24"/>
  <c r="E15" i="24"/>
  <c r="C15" i="24"/>
  <c r="X14" i="24"/>
  <c r="V14" i="24"/>
  <c r="T14" i="24"/>
  <c r="P14" i="24"/>
  <c r="N14" i="24"/>
  <c r="L14" i="24"/>
  <c r="H14" i="24"/>
  <c r="F14" i="24"/>
  <c r="D14" i="24"/>
  <c r="Y13" i="24"/>
  <c r="Q13" i="24"/>
  <c r="I13" i="24"/>
  <c r="Z12" i="24"/>
  <c r="V12" i="24"/>
  <c r="T12" i="24"/>
  <c r="R12" i="24"/>
  <c r="N12" i="24"/>
  <c r="L12" i="24"/>
  <c r="J12" i="24"/>
  <c r="F12" i="24"/>
  <c r="D12" i="24"/>
  <c r="W11" i="24"/>
  <c r="O11" i="24"/>
  <c r="G11" i="24"/>
  <c r="Z10" i="24"/>
  <c r="X10" i="24"/>
  <c r="T10" i="24"/>
  <c r="R10" i="24"/>
  <c r="P10" i="24"/>
  <c r="L10" i="24"/>
  <c r="J10" i="24"/>
  <c r="H10" i="24"/>
  <c r="D10" i="24"/>
  <c r="U9" i="24"/>
  <c r="M9" i="24"/>
  <c r="E9" i="24"/>
  <c r="Z8" i="24"/>
  <c r="X8" i="24"/>
  <c r="V8" i="24"/>
  <c r="R8" i="24"/>
  <c r="P8" i="24"/>
  <c r="N8" i="24"/>
  <c r="J8" i="24"/>
  <c r="H8" i="24"/>
  <c r="F8" i="24"/>
  <c r="S7" i="24"/>
  <c r="K7" i="24"/>
  <c r="C7" i="24"/>
  <c r="F50" i="24"/>
  <c r="E50" i="24"/>
  <c r="D50" i="24"/>
  <c r="C50" i="24"/>
  <c r="F49" i="24"/>
  <c r="E49" i="24"/>
  <c r="D49" i="24"/>
  <c r="C49" i="24"/>
  <c r="D43" i="24"/>
  <c r="E43" i="24"/>
  <c r="F43" i="24"/>
  <c r="C43" i="24"/>
  <c r="D42" i="24"/>
  <c r="E42" i="24"/>
  <c r="F42" i="24"/>
  <c r="C42" i="24"/>
  <c r="D41" i="24"/>
  <c r="E41" i="24"/>
  <c r="F41" i="24"/>
  <c r="C41" i="24"/>
  <c r="D44" i="20"/>
  <c r="E44" i="20"/>
  <c r="F44" i="20"/>
  <c r="C44" i="20"/>
  <c r="D44" i="19"/>
  <c r="E44" i="19"/>
  <c r="F44" i="19"/>
  <c r="C44" i="19"/>
  <c r="F26" i="24"/>
  <c r="E26" i="24"/>
  <c r="D26" i="24"/>
  <c r="C26" i="24"/>
  <c r="E35" i="27"/>
  <c r="D35" i="27"/>
  <c r="C35" i="27"/>
  <c r="E34" i="27"/>
  <c r="D34" i="27"/>
  <c r="C34" i="27"/>
  <c r="F14" i="27"/>
  <c r="E13" i="27"/>
  <c r="D12" i="27"/>
  <c r="C11" i="27"/>
  <c r="N10" i="27"/>
  <c r="M10" i="27"/>
  <c r="L10" i="27"/>
  <c r="K10" i="27"/>
  <c r="J10" i="27"/>
  <c r="I10" i="27"/>
  <c r="H10" i="27"/>
  <c r="G10" i="27"/>
  <c r="F10" i="27"/>
  <c r="E10" i="27"/>
  <c r="D10" i="27"/>
  <c r="C10" i="27"/>
  <c r="N9" i="27"/>
  <c r="M9" i="27"/>
  <c r="L9" i="27"/>
  <c r="K9" i="27"/>
  <c r="J9" i="27"/>
  <c r="I9" i="27"/>
  <c r="H9" i="27"/>
  <c r="G9" i="27"/>
  <c r="F9" i="27"/>
  <c r="E9" i="27"/>
  <c r="D9" i="27"/>
  <c r="C9" i="27"/>
  <c r="N8" i="27"/>
  <c r="M8" i="27"/>
  <c r="L8" i="27"/>
  <c r="K8" i="27"/>
  <c r="J8" i="27"/>
  <c r="I8" i="27"/>
  <c r="H8" i="27"/>
  <c r="G8" i="27"/>
  <c r="F8" i="27"/>
  <c r="E8" i="27"/>
  <c r="D8" i="27"/>
  <c r="C8" i="27"/>
  <c r="N7" i="27"/>
  <c r="M7" i="27"/>
  <c r="L7" i="27"/>
  <c r="K7" i="27"/>
  <c r="J7" i="27"/>
  <c r="I7" i="27"/>
  <c r="H7" i="27"/>
  <c r="G7" i="27"/>
  <c r="F7" i="27"/>
  <c r="E7" i="27"/>
  <c r="D7" i="27"/>
  <c r="C7" i="27"/>
  <c r="C57" i="30"/>
  <c r="E43" i="38" l="1"/>
  <c r="E112" i="32"/>
  <c r="F43" i="38"/>
  <c r="F112" i="32"/>
  <c r="D112" i="32"/>
  <c r="D43" i="38"/>
  <c r="D31" i="41"/>
  <c r="D32" i="41"/>
  <c r="C43" i="38"/>
  <c r="C112" i="32"/>
  <c r="C110" i="32"/>
  <c r="C113" i="32" s="1"/>
  <c r="C114" i="32"/>
  <c r="E32" i="41"/>
  <c r="H18" i="41"/>
  <c r="H80" i="41" s="1"/>
  <c r="H81" i="41" s="1"/>
  <c r="E42" i="41"/>
  <c r="E44" i="41" s="1"/>
  <c r="E114" i="32"/>
  <c r="E111" i="32"/>
  <c r="E110" i="32"/>
  <c r="E113" i="32" s="1"/>
  <c r="D114" i="32"/>
  <c r="D111" i="32"/>
  <c r="D110" i="32"/>
  <c r="D113" i="32" s="1"/>
  <c r="C32" i="41"/>
  <c r="C42" i="41"/>
  <c r="C44" i="41" s="1"/>
  <c r="D18" i="41"/>
  <c r="D80" i="41" s="1"/>
  <c r="D81" i="41" s="1"/>
  <c r="D36" i="41"/>
  <c r="D37" i="41" s="1"/>
  <c r="E36" i="41"/>
  <c r="E37" i="41" s="1"/>
  <c r="F114" i="32"/>
  <c r="F111" i="32"/>
  <c r="F110" i="32"/>
  <c r="F113" i="32" s="1"/>
  <c r="C36" i="41"/>
  <c r="C37" i="41" s="1"/>
  <c r="D110" i="33"/>
  <c r="D113" i="33" s="1"/>
  <c r="E111" i="33"/>
  <c r="E110" i="33"/>
  <c r="E113" i="33" s="1"/>
  <c r="E114" i="33"/>
  <c r="F110" i="33"/>
  <c r="F113" i="33" s="1"/>
  <c r="F114" i="33"/>
  <c r="F111" i="33"/>
  <c r="D114" i="33"/>
  <c r="C112" i="33"/>
  <c r="C114" i="33"/>
  <c r="C110" i="33"/>
  <c r="C113" i="33" s="1"/>
  <c r="AC13" i="41"/>
  <c r="AC75" i="41" s="1"/>
  <c r="AD75" i="41" s="1"/>
  <c r="F35" i="38"/>
  <c r="C35" i="38"/>
  <c r="E35" i="38"/>
  <c r="D35" i="38"/>
  <c r="N57" i="36"/>
  <c r="N18" i="36"/>
  <c r="R47" i="36"/>
  <c r="Q55" i="36"/>
  <c r="Q35" i="33"/>
  <c r="R7" i="33"/>
  <c r="Q15" i="33"/>
  <c r="C46" i="33"/>
  <c r="O45" i="33"/>
  <c r="Q35" i="32"/>
  <c r="R7" i="32"/>
  <c r="Q15" i="32"/>
  <c r="J45" i="32"/>
  <c r="J46" i="32" s="1"/>
  <c r="J18" i="32"/>
  <c r="C46" i="32"/>
  <c r="C58" i="30"/>
  <c r="F57" i="30"/>
  <c r="E57" i="30"/>
  <c r="E58" i="30" s="1"/>
  <c r="D57" i="30"/>
  <c r="D58" i="30" s="1"/>
  <c r="D27" i="30"/>
  <c r="D36" i="30" s="1"/>
  <c r="F27" i="30"/>
  <c r="F36" i="30" s="1"/>
  <c r="C27" i="30"/>
  <c r="C36" i="30" s="1"/>
  <c r="E27" i="30"/>
  <c r="E36" i="30" s="1"/>
  <c r="F55" i="20"/>
  <c r="E55" i="20"/>
  <c r="D55" i="20"/>
  <c r="C55" i="20"/>
  <c r="C18" i="41" l="1"/>
  <c r="C80" i="41" s="1"/>
  <c r="G18" i="41"/>
  <c r="G80" i="41" s="1"/>
  <c r="G81" i="41" s="1"/>
  <c r="D42" i="41"/>
  <c r="D44" i="41" s="1"/>
  <c r="F18" i="41"/>
  <c r="F80" i="41" s="1"/>
  <c r="F81" i="41" s="1"/>
  <c r="C38" i="41"/>
  <c r="C50" i="41"/>
  <c r="T18" i="41" s="1"/>
  <c r="T80" i="41" s="1"/>
  <c r="T81" i="41" s="1"/>
  <c r="C49" i="41"/>
  <c r="L18" i="41" s="1"/>
  <c r="L80" i="41" s="1"/>
  <c r="L81" i="41" s="1"/>
  <c r="E38" i="41"/>
  <c r="AC12" i="41" s="1"/>
  <c r="AC74" i="41" s="1"/>
  <c r="AD74" i="41" s="1"/>
  <c r="E49" i="41"/>
  <c r="P18" i="41" s="1"/>
  <c r="P80" i="41" s="1"/>
  <c r="P81" i="41" s="1"/>
  <c r="E50" i="41"/>
  <c r="X18" i="41" s="1"/>
  <c r="X80" i="41" s="1"/>
  <c r="X81" i="41" s="1"/>
  <c r="AC8" i="41"/>
  <c r="AC70" i="41" s="1"/>
  <c r="AD70" i="41" s="1"/>
  <c r="C55" i="41"/>
  <c r="D38" i="41"/>
  <c r="D55" i="41" s="1"/>
  <c r="D49" i="41"/>
  <c r="N18" i="41" s="1"/>
  <c r="N80" i="41" s="1"/>
  <c r="N81" i="41" s="1"/>
  <c r="D50" i="41"/>
  <c r="V18" i="41" s="1"/>
  <c r="V80" i="41" s="1"/>
  <c r="V81" i="41" s="1"/>
  <c r="C81" i="41"/>
  <c r="D36" i="38"/>
  <c r="D37" i="38"/>
  <c r="E36" i="38"/>
  <c r="E37" i="38"/>
  <c r="C36" i="38"/>
  <c r="C37" i="38"/>
  <c r="F36" i="38"/>
  <c r="F37" i="38"/>
  <c r="N58" i="36"/>
  <c r="O57" i="36"/>
  <c r="R35" i="33"/>
  <c r="Q43" i="33"/>
  <c r="N45" i="32"/>
  <c r="N46" i="32" s="1"/>
  <c r="N18" i="32"/>
  <c r="O17" i="32"/>
  <c r="R35" i="32"/>
  <c r="Q43" i="32"/>
  <c r="F38" i="30"/>
  <c r="F37" i="30"/>
  <c r="E38" i="30"/>
  <c r="E37" i="30"/>
  <c r="D38" i="30"/>
  <c r="D37" i="30"/>
  <c r="C38" i="30"/>
  <c r="C37" i="30"/>
  <c r="C32" i="24"/>
  <c r="C33" i="24" s="1"/>
  <c r="C34" i="24" s="1"/>
  <c r="F58" i="30"/>
  <c r="F31" i="30"/>
  <c r="J18" i="30" s="1"/>
  <c r="D31" i="30"/>
  <c r="C48" i="30"/>
  <c r="F48" i="30"/>
  <c r="E48" i="30"/>
  <c r="C31" i="30"/>
  <c r="E31" i="30"/>
  <c r="H18" i="30" s="1"/>
  <c r="D48" i="30"/>
  <c r="F65" i="19"/>
  <c r="E65" i="19"/>
  <c r="D65" i="19"/>
  <c r="C65" i="19"/>
  <c r="F64" i="20"/>
  <c r="E64" i="20"/>
  <c r="D64" i="20"/>
  <c r="C64" i="20"/>
  <c r="F45" i="19"/>
  <c r="E45" i="19"/>
  <c r="D45" i="19"/>
  <c r="C45" i="19"/>
  <c r="D54" i="20"/>
  <c r="E54" i="20"/>
  <c r="F54" i="20"/>
  <c r="C54" i="20"/>
  <c r="F4" i="19"/>
  <c r="E4" i="19"/>
  <c r="D4" i="19"/>
  <c r="C4" i="19"/>
  <c r="F4" i="20"/>
  <c r="E4" i="20"/>
  <c r="D4" i="20"/>
  <c r="C4" i="20"/>
  <c r="E55" i="41" l="1"/>
  <c r="AC10" i="41"/>
  <c r="AC72" i="41" s="1"/>
  <c r="AD72" i="41" s="1"/>
  <c r="D60" i="41"/>
  <c r="D62" i="41" s="1"/>
  <c r="U18" i="41" s="1"/>
  <c r="U80" i="41" s="1"/>
  <c r="U81" i="41" s="1"/>
  <c r="D59" i="41"/>
  <c r="D61" i="41" s="1"/>
  <c r="M18" i="41" s="1"/>
  <c r="M80" i="41" s="1"/>
  <c r="M81" i="41" s="1"/>
  <c r="AC11" i="41"/>
  <c r="AC73" i="41" s="1"/>
  <c r="AD73" i="41" s="1"/>
  <c r="O45" i="32"/>
  <c r="F55" i="41"/>
  <c r="AC7" i="41"/>
  <c r="E59" i="41"/>
  <c r="E61" i="41" s="1"/>
  <c r="O18" i="41" s="1"/>
  <c r="O80" i="41" s="1"/>
  <c r="O81" i="41" s="1"/>
  <c r="E60" i="41"/>
  <c r="E62" i="41" s="1"/>
  <c r="W18" i="41" s="1"/>
  <c r="W80" i="41" s="1"/>
  <c r="W81" i="41" s="1"/>
  <c r="E18" i="41"/>
  <c r="E80" i="41" s="1"/>
  <c r="AC14" i="38"/>
  <c r="F38" i="38"/>
  <c r="F51" i="38" s="1"/>
  <c r="AC12" i="38"/>
  <c r="E38" i="38"/>
  <c r="E51" i="38" s="1"/>
  <c r="F44" i="38"/>
  <c r="F45" i="38"/>
  <c r="R18" i="38" s="1"/>
  <c r="R75" i="38" s="1"/>
  <c r="R76" i="38" s="1"/>
  <c r="F46" i="38"/>
  <c r="Z18" i="38" s="1"/>
  <c r="Z75" i="38" s="1"/>
  <c r="Z76" i="38" s="1"/>
  <c r="E46" i="38"/>
  <c r="X18" i="38" s="1"/>
  <c r="X75" i="38" s="1"/>
  <c r="X76" i="38" s="1"/>
  <c r="E45" i="38"/>
  <c r="P18" i="38" s="1"/>
  <c r="P75" i="38" s="1"/>
  <c r="P76" i="38" s="1"/>
  <c r="E44" i="38"/>
  <c r="AC8" i="38"/>
  <c r="C38" i="38"/>
  <c r="C51" i="38" s="1"/>
  <c r="D38" i="38"/>
  <c r="D51" i="38" s="1"/>
  <c r="AC10" i="38"/>
  <c r="C44" i="38"/>
  <c r="C46" i="38"/>
  <c r="T18" i="38" s="1"/>
  <c r="T75" i="38" s="1"/>
  <c r="T76" i="38" s="1"/>
  <c r="C45" i="38"/>
  <c r="L18" i="38" s="1"/>
  <c r="L75" i="38" s="1"/>
  <c r="L76" i="38" s="1"/>
  <c r="D44" i="38"/>
  <c r="D45" i="38"/>
  <c r="N18" i="38" s="1"/>
  <c r="N75" i="38" s="1"/>
  <c r="N76" i="38" s="1"/>
  <c r="D46" i="38"/>
  <c r="V18" i="38" s="1"/>
  <c r="V75" i="38" s="1"/>
  <c r="V76" i="38" s="1"/>
  <c r="F32" i="30"/>
  <c r="D32" i="30"/>
  <c r="F18" i="30"/>
  <c r="C32" i="30"/>
  <c r="D18" i="30"/>
  <c r="C49" i="30"/>
  <c r="L18" i="30" s="1"/>
  <c r="E32" i="30"/>
  <c r="F42" i="30"/>
  <c r="E42" i="30"/>
  <c r="D42" i="30"/>
  <c r="C42" i="30"/>
  <c r="AC9" i="41" l="1"/>
  <c r="AC71" i="41" s="1"/>
  <c r="AD71" i="41" s="1"/>
  <c r="AC16" i="41"/>
  <c r="AC69" i="41"/>
  <c r="E81" i="41"/>
  <c r="F60" i="41"/>
  <c r="F62" i="41" s="1"/>
  <c r="Y18" i="41" s="1"/>
  <c r="Y80" i="41" s="1"/>
  <c r="Y81" i="41" s="1"/>
  <c r="F59" i="41"/>
  <c r="F61" i="41" s="1"/>
  <c r="Q18" i="41" s="1"/>
  <c r="Q80" i="41" s="1"/>
  <c r="Q81" i="41" s="1"/>
  <c r="C59" i="41"/>
  <c r="C61" i="41" s="1"/>
  <c r="K18" i="41" s="1"/>
  <c r="C60" i="41"/>
  <c r="C62" i="41" s="1"/>
  <c r="S18" i="41" s="1"/>
  <c r="S80" i="41" s="1"/>
  <c r="S81" i="41" s="1"/>
  <c r="C55" i="38"/>
  <c r="C57" i="38" s="1"/>
  <c r="S18" i="38" s="1"/>
  <c r="S75" i="38" s="1"/>
  <c r="S76" i="38" s="1"/>
  <c r="C54" i="38"/>
  <c r="C56" i="38" s="1"/>
  <c r="K18" i="38" s="1"/>
  <c r="K75" i="38" s="1"/>
  <c r="K76" i="38" s="1"/>
  <c r="E55" i="38"/>
  <c r="E57" i="38" s="1"/>
  <c r="W18" i="38" s="1"/>
  <c r="W75" i="38" s="1"/>
  <c r="W76" i="38" s="1"/>
  <c r="E54" i="38"/>
  <c r="E56" i="38" s="1"/>
  <c r="O18" i="38" s="1"/>
  <c r="O75" i="38" s="1"/>
  <c r="O76" i="38" s="1"/>
  <c r="D18" i="38"/>
  <c r="D75" i="38" s="1"/>
  <c r="D76" i="38" s="1"/>
  <c r="C18" i="38"/>
  <c r="AC65" i="38"/>
  <c r="AD65" i="38" s="1"/>
  <c r="AC7" i="38"/>
  <c r="AC69" i="38"/>
  <c r="AD69" i="38" s="1"/>
  <c r="AC11" i="38"/>
  <c r="AC68" i="38" s="1"/>
  <c r="AD68" i="38" s="1"/>
  <c r="E18" i="38"/>
  <c r="E75" i="38" s="1"/>
  <c r="E76" i="38" s="1"/>
  <c r="F18" i="38"/>
  <c r="F75" i="38" s="1"/>
  <c r="F76" i="38" s="1"/>
  <c r="AC67" i="38"/>
  <c r="AD67" i="38" s="1"/>
  <c r="AC9" i="38"/>
  <c r="AC66" i="38" s="1"/>
  <c r="AD66" i="38" s="1"/>
  <c r="H18" i="38"/>
  <c r="H75" i="38" s="1"/>
  <c r="H76" i="38" s="1"/>
  <c r="G18" i="38"/>
  <c r="G75" i="38" s="1"/>
  <c r="G76" i="38" s="1"/>
  <c r="F55" i="38"/>
  <c r="F57" i="38" s="1"/>
  <c r="Y18" i="38" s="1"/>
  <c r="Y75" i="38" s="1"/>
  <c r="Y76" i="38" s="1"/>
  <c r="F54" i="38"/>
  <c r="F56" i="38" s="1"/>
  <c r="Q18" i="38" s="1"/>
  <c r="Q75" i="38" s="1"/>
  <c r="Q76" i="38" s="1"/>
  <c r="D55" i="38"/>
  <c r="D57" i="38" s="1"/>
  <c r="U18" i="38" s="1"/>
  <c r="U75" i="38" s="1"/>
  <c r="U76" i="38" s="1"/>
  <c r="D54" i="38"/>
  <c r="D56" i="38" s="1"/>
  <c r="M18" i="38" s="1"/>
  <c r="M75" i="38" s="1"/>
  <c r="M76" i="38" s="1"/>
  <c r="I18" i="38"/>
  <c r="I75" i="38" s="1"/>
  <c r="I76" i="38" s="1"/>
  <c r="J18" i="38"/>
  <c r="J75" i="38" s="1"/>
  <c r="J76" i="38" s="1"/>
  <c r="AC71" i="38"/>
  <c r="AD71" i="38" s="1"/>
  <c r="AC13" i="38"/>
  <c r="AC70" i="38" s="1"/>
  <c r="AD70" i="38" s="1"/>
  <c r="C50" i="30"/>
  <c r="T18" i="30" s="1"/>
  <c r="C55" i="30"/>
  <c r="C56" i="30" s="1"/>
  <c r="F45" i="20"/>
  <c r="E45" i="20"/>
  <c r="D45" i="20"/>
  <c r="C45" i="20"/>
  <c r="K80" i="41" l="1"/>
  <c r="AA18" i="41"/>
  <c r="AC78" i="41"/>
  <c r="AD69" i="41"/>
  <c r="AC64" i="38"/>
  <c r="AC16" i="38"/>
  <c r="AA18" i="38"/>
  <c r="C75" i="38"/>
  <c r="AC8" i="30"/>
  <c r="C59" i="30"/>
  <c r="C61" i="30" s="1"/>
  <c r="K18" i="30" s="1"/>
  <c r="K81" i="41" l="1"/>
  <c r="AA80" i="41"/>
  <c r="C76" i="38"/>
  <c r="AA75" i="38"/>
  <c r="AC73" i="38"/>
  <c r="AD64" i="38"/>
  <c r="C60" i="30"/>
  <c r="C62" i="30" s="1"/>
  <c r="S18" i="30" s="1"/>
  <c r="F49" i="30"/>
  <c r="R18" i="30" s="1"/>
  <c r="F50" i="30"/>
  <c r="Z18" i="30" s="1"/>
  <c r="E49" i="30"/>
  <c r="P18" i="30" s="1"/>
  <c r="E50" i="30"/>
  <c r="X18" i="30" s="1"/>
  <c r="D49" i="30"/>
  <c r="N18" i="30" s="1"/>
  <c r="D50" i="30"/>
  <c r="V18" i="30" s="1"/>
  <c r="C44" i="30"/>
  <c r="F44" i="30"/>
  <c r="E44" i="30"/>
  <c r="D44" i="30"/>
  <c r="E18" i="30" l="1"/>
  <c r="G18" i="30"/>
  <c r="I18" i="30"/>
  <c r="D55" i="30"/>
  <c r="D56" i="30" s="1"/>
  <c r="AC10" i="30"/>
  <c r="AC9" i="30" s="1"/>
  <c r="AC14" i="30"/>
  <c r="AC13" i="30" s="1"/>
  <c r="E55" i="30"/>
  <c r="AC12" i="30"/>
  <c r="AC11" i="30" s="1"/>
  <c r="AC7" i="30"/>
  <c r="C18" i="30"/>
  <c r="N93" i="30"/>
  <c r="L5" i="31" s="1"/>
  <c r="M93" i="30"/>
  <c r="K5" i="31" s="1"/>
  <c r="L93" i="30"/>
  <c r="J5" i="31" s="1"/>
  <c r="K93" i="30"/>
  <c r="I5" i="31" s="1"/>
  <c r="J93" i="30"/>
  <c r="H5" i="31" s="1"/>
  <c r="I93" i="30"/>
  <c r="G5" i="31" s="1"/>
  <c r="H93" i="30"/>
  <c r="F5" i="31" s="1"/>
  <c r="G93" i="30"/>
  <c r="E5" i="31" s="1"/>
  <c r="F93" i="30"/>
  <c r="E93" i="30"/>
  <c r="D93" i="30"/>
  <c r="C93" i="30"/>
  <c r="N92" i="30"/>
  <c r="L4" i="31" s="1"/>
  <c r="M92" i="30"/>
  <c r="K4" i="31" s="1"/>
  <c r="L92" i="30"/>
  <c r="J4" i="31" s="1"/>
  <c r="K92" i="30"/>
  <c r="I4" i="31" s="1"/>
  <c r="J92" i="30"/>
  <c r="H4" i="31" s="1"/>
  <c r="I92" i="30"/>
  <c r="G4" i="31" s="1"/>
  <c r="H92" i="30"/>
  <c r="F4" i="31" s="1"/>
  <c r="G92" i="30"/>
  <c r="E4" i="31" s="1"/>
  <c r="F92" i="30"/>
  <c r="D4" i="31" s="1"/>
  <c r="E92" i="30"/>
  <c r="C4" i="31" s="1"/>
  <c r="D92" i="30"/>
  <c r="B4" i="31" s="1"/>
  <c r="C92" i="30"/>
  <c r="A4" i="31" s="1"/>
  <c r="N91" i="30"/>
  <c r="L3" i="31" s="1"/>
  <c r="M91" i="30"/>
  <c r="K3" i="31" s="1"/>
  <c r="L91" i="30"/>
  <c r="J3" i="31" s="1"/>
  <c r="K91" i="30"/>
  <c r="I3" i="31" s="1"/>
  <c r="J91" i="30"/>
  <c r="H3" i="31" s="1"/>
  <c r="I91" i="30"/>
  <c r="G3" i="31" s="1"/>
  <c r="H91" i="30"/>
  <c r="F3" i="31" s="1"/>
  <c r="G91" i="30"/>
  <c r="E3" i="31" s="1"/>
  <c r="F91" i="30"/>
  <c r="D3" i="31" s="1"/>
  <c r="E91" i="30"/>
  <c r="C3" i="31" s="1"/>
  <c r="D91" i="30"/>
  <c r="B3" i="31" s="1"/>
  <c r="C91" i="30"/>
  <c r="A3" i="31" s="1"/>
  <c r="N90" i="30"/>
  <c r="L2" i="31" s="1"/>
  <c r="M90" i="30"/>
  <c r="K2" i="31" s="1"/>
  <c r="L90" i="30"/>
  <c r="J2" i="31" s="1"/>
  <c r="K90" i="30"/>
  <c r="I2" i="31" s="1"/>
  <c r="J90" i="30"/>
  <c r="H2" i="31" s="1"/>
  <c r="I90" i="30"/>
  <c r="G2" i="31" s="1"/>
  <c r="H90" i="30"/>
  <c r="F2" i="31" s="1"/>
  <c r="G90" i="30"/>
  <c r="E2" i="31" s="1"/>
  <c r="F90" i="30"/>
  <c r="D2" i="31" s="1"/>
  <c r="E90" i="30"/>
  <c r="C2" i="31" s="1"/>
  <c r="D90" i="30"/>
  <c r="B2" i="31" s="1"/>
  <c r="C90" i="30"/>
  <c r="A2" i="31" s="1"/>
  <c r="N89" i="30"/>
  <c r="L1" i="31" s="1"/>
  <c r="M89" i="30"/>
  <c r="K1" i="31" s="1"/>
  <c r="L89" i="30"/>
  <c r="J1" i="31" s="1"/>
  <c r="K89" i="30"/>
  <c r="I1" i="31" s="1"/>
  <c r="J89" i="30"/>
  <c r="H1" i="31" s="1"/>
  <c r="I89" i="30"/>
  <c r="G1" i="31" s="1"/>
  <c r="H89" i="30"/>
  <c r="F1" i="31" s="1"/>
  <c r="G89" i="30"/>
  <c r="E1" i="31" s="1"/>
  <c r="F89" i="30"/>
  <c r="D1" i="31" s="1"/>
  <c r="E89" i="30"/>
  <c r="C1" i="31" s="1"/>
  <c r="D89" i="30"/>
  <c r="C89" i="30"/>
  <c r="A1" i="31" s="1"/>
  <c r="Z79" i="30"/>
  <c r="Y79" i="30"/>
  <c r="X79" i="30"/>
  <c r="W79" i="30"/>
  <c r="V79" i="30"/>
  <c r="U79" i="30"/>
  <c r="T79" i="30"/>
  <c r="S79" i="30"/>
  <c r="R79" i="30"/>
  <c r="Q79" i="30"/>
  <c r="P79" i="30"/>
  <c r="O79" i="30"/>
  <c r="N79" i="30"/>
  <c r="M79" i="30"/>
  <c r="L79" i="30"/>
  <c r="K79" i="30"/>
  <c r="J79" i="30"/>
  <c r="I79" i="30"/>
  <c r="H79" i="30"/>
  <c r="G79" i="30"/>
  <c r="F79" i="30"/>
  <c r="E79" i="30"/>
  <c r="D79" i="30"/>
  <c r="C79" i="30"/>
  <c r="AB77" i="30"/>
  <c r="AB76" i="30"/>
  <c r="AB75" i="30"/>
  <c r="AB74" i="30"/>
  <c r="AB73" i="30"/>
  <c r="AB72" i="30"/>
  <c r="AB71" i="30"/>
  <c r="AB70" i="30"/>
  <c r="AB69" i="30"/>
  <c r="Q17" i="30"/>
  <c r="W17" i="30"/>
  <c r="O17" i="30"/>
  <c r="U17" i="30"/>
  <c r="M17" i="30"/>
  <c r="S17" i="30"/>
  <c r="K17" i="30"/>
  <c r="P14" i="27"/>
  <c r="P12" i="27"/>
  <c r="P11" i="27"/>
  <c r="F16" i="27"/>
  <c r="C69" i="27"/>
  <c r="A5" i="28" s="1"/>
  <c r="H69" i="27"/>
  <c r="I69" i="27"/>
  <c r="G5" i="28" s="1"/>
  <c r="J69" i="27"/>
  <c r="H5" i="28" s="1"/>
  <c r="K69" i="27"/>
  <c r="I5" i="28" s="1"/>
  <c r="L69" i="27"/>
  <c r="M69" i="27"/>
  <c r="N69" i="27"/>
  <c r="L5" i="28" s="1"/>
  <c r="G69" i="27"/>
  <c r="E5" i="28" s="1"/>
  <c r="J5" i="28"/>
  <c r="K5" i="28"/>
  <c r="C56" i="27"/>
  <c r="N88" i="24"/>
  <c r="M88" i="24"/>
  <c r="L88" i="24"/>
  <c r="K88" i="24"/>
  <c r="J88" i="24"/>
  <c r="H5" i="26" s="1"/>
  <c r="I88" i="24"/>
  <c r="G5" i="26" s="1"/>
  <c r="H88" i="24"/>
  <c r="F5" i="26" s="1"/>
  <c r="G88" i="24"/>
  <c r="E5" i="26" s="1"/>
  <c r="F88" i="24"/>
  <c r="E88" i="24"/>
  <c r="C5" i="26" s="1"/>
  <c r="D88" i="24"/>
  <c r="B5" i="26" s="1"/>
  <c r="C88" i="24"/>
  <c r="A5" i="26" s="1"/>
  <c r="N87" i="24"/>
  <c r="L4" i="26" s="1"/>
  <c r="M87" i="24"/>
  <c r="K4" i="26" s="1"/>
  <c r="L87" i="24"/>
  <c r="J4" i="26" s="1"/>
  <c r="K87" i="24"/>
  <c r="I4" i="26" s="1"/>
  <c r="J87" i="24"/>
  <c r="H4" i="26" s="1"/>
  <c r="I87" i="24"/>
  <c r="G4" i="26" s="1"/>
  <c r="H87" i="24"/>
  <c r="F4" i="26" s="1"/>
  <c r="G87" i="24"/>
  <c r="E4" i="26" s="1"/>
  <c r="F87" i="24"/>
  <c r="D4" i="26" s="1"/>
  <c r="E87" i="24"/>
  <c r="C4" i="26" s="1"/>
  <c r="D87" i="24"/>
  <c r="B4" i="26" s="1"/>
  <c r="C87" i="24"/>
  <c r="A4" i="26" s="1"/>
  <c r="N86" i="24"/>
  <c r="L3" i="26" s="1"/>
  <c r="M86" i="24"/>
  <c r="K3" i="26" s="1"/>
  <c r="L86" i="24"/>
  <c r="J3" i="26" s="1"/>
  <c r="K86" i="24"/>
  <c r="I3" i="26" s="1"/>
  <c r="J86" i="24"/>
  <c r="H3" i="26" s="1"/>
  <c r="I86" i="24"/>
  <c r="H86" i="24"/>
  <c r="F3" i="26" s="1"/>
  <c r="G86" i="24"/>
  <c r="E3" i="26" s="1"/>
  <c r="F86" i="24"/>
  <c r="D3" i="26" s="1"/>
  <c r="E86" i="24"/>
  <c r="D86" i="24"/>
  <c r="B3" i="26" s="1"/>
  <c r="C86" i="24"/>
  <c r="A3" i="26" s="1"/>
  <c r="N85" i="24"/>
  <c r="L2" i="26" s="1"/>
  <c r="M85" i="24"/>
  <c r="K2" i="26" s="1"/>
  <c r="L85" i="24"/>
  <c r="J2" i="26" s="1"/>
  <c r="K85" i="24"/>
  <c r="I2" i="26" s="1"/>
  <c r="J85" i="24"/>
  <c r="H2" i="26" s="1"/>
  <c r="I85" i="24"/>
  <c r="G2" i="26" s="1"/>
  <c r="H85" i="24"/>
  <c r="F2" i="26" s="1"/>
  <c r="G85" i="24"/>
  <c r="E2" i="26" s="1"/>
  <c r="F85" i="24"/>
  <c r="D2" i="26" s="1"/>
  <c r="E85" i="24"/>
  <c r="C2" i="26" s="1"/>
  <c r="D85" i="24"/>
  <c r="B2" i="26" s="1"/>
  <c r="C85" i="24"/>
  <c r="A2" i="26" s="1"/>
  <c r="N84" i="24"/>
  <c r="L1" i="26" s="1"/>
  <c r="M84" i="24"/>
  <c r="K1" i="26" s="1"/>
  <c r="L84" i="24"/>
  <c r="J1" i="26" s="1"/>
  <c r="K84" i="24"/>
  <c r="I1" i="26" s="1"/>
  <c r="J84" i="24"/>
  <c r="H1" i="26" s="1"/>
  <c r="I84" i="24"/>
  <c r="G1" i="26" s="1"/>
  <c r="H84" i="24"/>
  <c r="F1" i="26" s="1"/>
  <c r="G84" i="24"/>
  <c r="E1" i="26" s="1"/>
  <c r="F84" i="24"/>
  <c r="D1" i="26" s="1"/>
  <c r="E84" i="24"/>
  <c r="C1" i="26" s="1"/>
  <c r="D84" i="24"/>
  <c r="C84" i="24"/>
  <c r="A1" i="26" s="1"/>
  <c r="F69" i="27"/>
  <c r="E69" i="27"/>
  <c r="D69" i="27"/>
  <c r="C66" i="27"/>
  <c r="A2" i="28" s="1"/>
  <c r="D66" i="27"/>
  <c r="B2" i="28" s="1"/>
  <c r="E66" i="27"/>
  <c r="C2" i="28" s="1"/>
  <c r="F66" i="27"/>
  <c r="D2" i="28" s="1"/>
  <c r="G66" i="27"/>
  <c r="E2" i="28" s="1"/>
  <c r="H66" i="27"/>
  <c r="F2" i="28" s="1"/>
  <c r="I66" i="27"/>
  <c r="G2" i="28" s="1"/>
  <c r="J66" i="27"/>
  <c r="H2" i="28" s="1"/>
  <c r="K66" i="27"/>
  <c r="I2" i="28" s="1"/>
  <c r="L66" i="27"/>
  <c r="J2" i="28" s="1"/>
  <c r="M66" i="27"/>
  <c r="K2" i="28" s="1"/>
  <c r="N66" i="27"/>
  <c r="L2" i="28" s="1"/>
  <c r="C67" i="27"/>
  <c r="A3" i="28" s="1"/>
  <c r="D67" i="27"/>
  <c r="B3" i="28" s="1"/>
  <c r="E67" i="27"/>
  <c r="C3" i="28" s="1"/>
  <c r="F67" i="27"/>
  <c r="D3" i="28" s="1"/>
  <c r="G67" i="27"/>
  <c r="E3" i="28" s="1"/>
  <c r="H67" i="27"/>
  <c r="F3" i="28" s="1"/>
  <c r="I67" i="27"/>
  <c r="G3" i="28" s="1"/>
  <c r="J67" i="27"/>
  <c r="H3" i="28" s="1"/>
  <c r="K67" i="27"/>
  <c r="I3" i="28" s="1"/>
  <c r="L67" i="27"/>
  <c r="J3" i="28" s="1"/>
  <c r="M67" i="27"/>
  <c r="K3" i="28" s="1"/>
  <c r="N67" i="27"/>
  <c r="L3" i="28" s="1"/>
  <c r="C68" i="27"/>
  <c r="A4" i="28" s="1"/>
  <c r="D68" i="27"/>
  <c r="B4" i="28" s="1"/>
  <c r="E68" i="27"/>
  <c r="C4" i="28" s="1"/>
  <c r="F68" i="27"/>
  <c r="D4" i="28" s="1"/>
  <c r="G68" i="27"/>
  <c r="E4" i="28" s="1"/>
  <c r="H68" i="27"/>
  <c r="F4" i="28" s="1"/>
  <c r="I68" i="27"/>
  <c r="G4" i="28" s="1"/>
  <c r="J68" i="27"/>
  <c r="H4" i="28" s="1"/>
  <c r="K68" i="27"/>
  <c r="I4" i="28" s="1"/>
  <c r="L68" i="27"/>
  <c r="J4" i="28" s="1"/>
  <c r="M68" i="27"/>
  <c r="K4" i="28" s="1"/>
  <c r="N68" i="27"/>
  <c r="L4" i="28" s="1"/>
  <c r="D65" i="27"/>
  <c r="B1" i="28" s="1"/>
  <c r="E65" i="27"/>
  <c r="C1" i="28" s="1"/>
  <c r="F65" i="27"/>
  <c r="D1" i="28" s="1"/>
  <c r="G65" i="27"/>
  <c r="E1" i="28" s="1"/>
  <c r="H65" i="27"/>
  <c r="F1" i="28" s="1"/>
  <c r="I65" i="27"/>
  <c r="G1" i="28" s="1"/>
  <c r="J65" i="27"/>
  <c r="H1" i="28" s="1"/>
  <c r="K65" i="27"/>
  <c r="I1" i="28" s="1"/>
  <c r="L65" i="27"/>
  <c r="J1" i="28" s="1"/>
  <c r="M65" i="27"/>
  <c r="K1" i="28" s="1"/>
  <c r="N65" i="27"/>
  <c r="L1" i="28" s="1"/>
  <c r="C65" i="27"/>
  <c r="A1" i="28" s="1"/>
  <c r="F5" i="28"/>
  <c r="N56" i="27"/>
  <c r="M56" i="27"/>
  <c r="L56" i="27"/>
  <c r="K56" i="27"/>
  <c r="J56" i="27"/>
  <c r="I56" i="27"/>
  <c r="H56" i="27"/>
  <c r="G56" i="27"/>
  <c r="F56" i="27"/>
  <c r="E56" i="27"/>
  <c r="D56" i="27"/>
  <c r="P54" i="27"/>
  <c r="P53" i="27"/>
  <c r="P52" i="27"/>
  <c r="P51" i="27"/>
  <c r="P50" i="27"/>
  <c r="P49" i="27"/>
  <c r="P48" i="27"/>
  <c r="P47" i="27"/>
  <c r="P13" i="27"/>
  <c r="C25" i="27"/>
  <c r="D25" i="27"/>
  <c r="E25" i="27"/>
  <c r="F25" i="27"/>
  <c r="C26" i="27"/>
  <c r="D26" i="27"/>
  <c r="E26" i="27"/>
  <c r="F26" i="27"/>
  <c r="D30" i="27"/>
  <c r="E30" i="27"/>
  <c r="F30" i="27"/>
  <c r="C30" i="27"/>
  <c r="L5" i="26"/>
  <c r="K5" i="26"/>
  <c r="J5" i="26"/>
  <c r="I5" i="26"/>
  <c r="G3" i="26"/>
  <c r="C3" i="26"/>
  <c r="Z74" i="24"/>
  <c r="Y74" i="24"/>
  <c r="X74" i="24"/>
  <c r="W74" i="24"/>
  <c r="V74" i="24"/>
  <c r="U74" i="24"/>
  <c r="T74" i="24"/>
  <c r="S74" i="24"/>
  <c r="R74" i="24"/>
  <c r="Q74" i="24"/>
  <c r="P74" i="24"/>
  <c r="O74" i="24"/>
  <c r="N74" i="24"/>
  <c r="M74" i="24"/>
  <c r="L74" i="24"/>
  <c r="K74" i="24"/>
  <c r="J74" i="24"/>
  <c r="I74" i="24"/>
  <c r="H74" i="24"/>
  <c r="G74" i="24"/>
  <c r="F74" i="24"/>
  <c r="E74" i="24"/>
  <c r="D74" i="24"/>
  <c r="C74" i="24"/>
  <c r="AB72" i="24"/>
  <c r="AB71" i="24"/>
  <c r="AB70" i="24"/>
  <c r="AB69" i="24"/>
  <c r="AB68" i="24"/>
  <c r="AB67" i="24"/>
  <c r="AB66" i="24"/>
  <c r="AB65" i="24"/>
  <c r="AB64" i="24"/>
  <c r="E52" i="24"/>
  <c r="E53" i="24" s="1"/>
  <c r="D52" i="24"/>
  <c r="D53" i="24" s="1"/>
  <c r="C52" i="24"/>
  <c r="C53" i="24" s="1"/>
  <c r="Y17" i="24"/>
  <c r="Q17" i="24"/>
  <c r="W17" i="24"/>
  <c r="O17" i="24"/>
  <c r="T17" i="24"/>
  <c r="U17" i="24"/>
  <c r="M17" i="24"/>
  <c r="R17" i="24"/>
  <c r="S17" i="24"/>
  <c r="K17" i="24"/>
  <c r="L5" i="22"/>
  <c r="K5" i="22"/>
  <c r="J5" i="22"/>
  <c r="I5" i="22"/>
  <c r="H5" i="22"/>
  <c r="G5" i="22"/>
  <c r="F5" i="22"/>
  <c r="E5" i="22"/>
  <c r="D5" i="22"/>
  <c r="C5" i="22"/>
  <c r="B5" i="22"/>
  <c r="A5" i="22"/>
  <c r="L4" i="22"/>
  <c r="K4" i="22"/>
  <c r="J4" i="22"/>
  <c r="I4" i="22"/>
  <c r="H4" i="22"/>
  <c r="G4" i="22"/>
  <c r="F4" i="22"/>
  <c r="E4" i="22"/>
  <c r="D4" i="22"/>
  <c r="C4" i="22"/>
  <c r="B4" i="22"/>
  <c r="A4" i="22"/>
  <c r="L3" i="22"/>
  <c r="K3" i="22"/>
  <c r="J3" i="22"/>
  <c r="I3" i="22"/>
  <c r="H3" i="22"/>
  <c r="G3" i="22"/>
  <c r="F3" i="22"/>
  <c r="E3" i="22"/>
  <c r="D3" i="22"/>
  <c r="C3" i="22"/>
  <c r="B3" i="22"/>
  <c r="A3" i="22"/>
  <c r="L2" i="22"/>
  <c r="K2" i="22"/>
  <c r="J2" i="22"/>
  <c r="I2" i="22"/>
  <c r="H2" i="22"/>
  <c r="G2" i="22"/>
  <c r="F2" i="22"/>
  <c r="E2" i="22"/>
  <c r="D2" i="22"/>
  <c r="C2" i="22"/>
  <c r="B2" i="22"/>
  <c r="A2" i="22"/>
  <c r="L1" i="22"/>
  <c r="K1" i="22"/>
  <c r="J1" i="22"/>
  <c r="I1" i="22"/>
  <c r="H1" i="22"/>
  <c r="G1" i="22"/>
  <c r="F1" i="22"/>
  <c r="E1" i="22"/>
  <c r="D1" i="22"/>
  <c r="C1" i="22"/>
  <c r="B1" i="22"/>
  <c r="A1" i="22"/>
  <c r="A2" i="21"/>
  <c r="B2" i="21"/>
  <c r="C2" i="21"/>
  <c r="D2" i="21"/>
  <c r="E2" i="21"/>
  <c r="F2" i="21"/>
  <c r="G2" i="21"/>
  <c r="H2" i="21"/>
  <c r="I2" i="21"/>
  <c r="J2" i="21"/>
  <c r="K2" i="21"/>
  <c r="L2" i="21"/>
  <c r="A3" i="21"/>
  <c r="B3" i="21"/>
  <c r="C3" i="21"/>
  <c r="D3" i="21"/>
  <c r="E3" i="21"/>
  <c r="F3" i="21"/>
  <c r="G3" i="21"/>
  <c r="H3" i="21"/>
  <c r="I3" i="21"/>
  <c r="J3" i="21"/>
  <c r="K3" i="21"/>
  <c r="L3" i="21"/>
  <c r="A4" i="21"/>
  <c r="B4" i="21"/>
  <c r="C4" i="21"/>
  <c r="D4" i="21"/>
  <c r="E4" i="21"/>
  <c r="F4" i="21"/>
  <c r="G4" i="21"/>
  <c r="H4" i="21"/>
  <c r="I4" i="21"/>
  <c r="J4" i="21"/>
  <c r="K4" i="21"/>
  <c r="L4" i="21"/>
  <c r="A5" i="21"/>
  <c r="B5" i="21"/>
  <c r="C5" i="21"/>
  <c r="D5" i="21"/>
  <c r="E5" i="21"/>
  <c r="F5" i="21"/>
  <c r="G5" i="21"/>
  <c r="H5" i="21"/>
  <c r="I5" i="21"/>
  <c r="J5" i="21"/>
  <c r="K5" i="21"/>
  <c r="L5" i="21"/>
  <c r="B1" i="21"/>
  <c r="C1" i="21"/>
  <c r="D1" i="21"/>
  <c r="E1" i="21"/>
  <c r="F1" i="21"/>
  <c r="G1" i="21"/>
  <c r="H1" i="21"/>
  <c r="I1" i="21"/>
  <c r="J1" i="21"/>
  <c r="K1" i="21"/>
  <c r="L1" i="21"/>
  <c r="A1" i="21"/>
  <c r="G16" i="20"/>
  <c r="H16" i="20"/>
  <c r="I16" i="20"/>
  <c r="J16" i="20"/>
  <c r="K16" i="20"/>
  <c r="L16" i="20"/>
  <c r="M16" i="20"/>
  <c r="N16" i="20"/>
  <c r="C16" i="20"/>
  <c r="O14" i="20"/>
  <c r="Q12" i="20"/>
  <c r="H15" i="20"/>
  <c r="I15" i="20"/>
  <c r="J15" i="20"/>
  <c r="K15" i="20"/>
  <c r="L15" i="20"/>
  <c r="M15" i="20"/>
  <c r="M29" i="20" s="1"/>
  <c r="N15" i="20"/>
  <c r="G15" i="20"/>
  <c r="C15" i="20"/>
  <c r="Q26" i="20"/>
  <c r="G29" i="20"/>
  <c r="H29" i="20"/>
  <c r="I29" i="20"/>
  <c r="J29" i="20"/>
  <c r="K29" i="20"/>
  <c r="L29" i="20"/>
  <c r="N29" i="20"/>
  <c r="C29" i="20"/>
  <c r="E59" i="30" l="1"/>
  <c r="E61" i="30" s="1"/>
  <c r="O18" i="30" s="1"/>
  <c r="E56" i="30"/>
  <c r="E60" i="30"/>
  <c r="E62" i="30" s="1"/>
  <c r="W18" i="30" s="1"/>
  <c r="F55" i="30"/>
  <c r="F56" i="30" s="1"/>
  <c r="P17" i="24"/>
  <c r="D5" i="26"/>
  <c r="N17" i="24"/>
  <c r="X17" i="24"/>
  <c r="E27" i="27"/>
  <c r="E31" i="27" s="1"/>
  <c r="E17" i="27" s="1"/>
  <c r="D27" i="27"/>
  <c r="D31" i="27" s="1"/>
  <c r="D17" i="27" s="1"/>
  <c r="C27" i="27"/>
  <c r="C31" i="27" s="1"/>
  <c r="C17" i="27" s="1"/>
  <c r="F27" i="27"/>
  <c r="F31" i="27" s="1"/>
  <c r="F17" i="27" s="1"/>
  <c r="B1" i="31"/>
  <c r="P8" i="27"/>
  <c r="P10" i="27"/>
  <c r="G16" i="27"/>
  <c r="E16" i="27"/>
  <c r="M16" i="27"/>
  <c r="I16" i="27"/>
  <c r="L16" i="27"/>
  <c r="F52" i="24"/>
  <c r="F53" i="24" s="1"/>
  <c r="P7" i="27"/>
  <c r="D16" i="27"/>
  <c r="H16" i="27"/>
  <c r="I17" i="24"/>
  <c r="P9" i="27"/>
  <c r="J17" i="24"/>
  <c r="N16" i="27"/>
  <c r="A5" i="31"/>
  <c r="N17" i="30"/>
  <c r="B5" i="31"/>
  <c r="C5" i="31"/>
  <c r="D5" i="31"/>
  <c r="V80" i="30"/>
  <c r="V81" i="30" s="1"/>
  <c r="P92" i="30"/>
  <c r="P17" i="30"/>
  <c r="R17" i="30"/>
  <c r="X17" i="30"/>
  <c r="Z17" i="30"/>
  <c r="T17" i="30"/>
  <c r="AB14" i="30"/>
  <c r="AB78" i="30"/>
  <c r="L95" i="30"/>
  <c r="I17" i="30"/>
  <c r="AB12" i="30"/>
  <c r="D95" i="30"/>
  <c r="H17" i="30"/>
  <c r="V17" i="30"/>
  <c r="J95" i="30"/>
  <c r="AB13" i="30"/>
  <c r="AB10" i="30"/>
  <c r="J17" i="30"/>
  <c r="L17" i="30"/>
  <c r="M95" i="30"/>
  <c r="AA79" i="30"/>
  <c r="C17" i="30"/>
  <c r="AB11" i="30"/>
  <c r="P93" i="30"/>
  <c r="N95" i="30"/>
  <c r="E17" i="30"/>
  <c r="K95" i="30"/>
  <c r="AB15" i="30"/>
  <c r="AC15" i="30" s="1"/>
  <c r="AC77" i="30" s="1"/>
  <c r="AD77" i="30" s="1"/>
  <c r="AB8" i="30"/>
  <c r="P91" i="30"/>
  <c r="C95" i="30"/>
  <c r="Y17" i="30"/>
  <c r="AB7" i="30"/>
  <c r="E95" i="30"/>
  <c r="F95" i="30"/>
  <c r="AB9" i="30"/>
  <c r="D17" i="30"/>
  <c r="G95" i="30"/>
  <c r="H95" i="30"/>
  <c r="F17" i="30"/>
  <c r="I95" i="30"/>
  <c r="G17" i="30"/>
  <c r="P90" i="30"/>
  <c r="P89" i="30"/>
  <c r="K16" i="27"/>
  <c r="J16" i="27"/>
  <c r="C16" i="27"/>
  <c r="D5" i="28"/>
  <c r="C5" i="28"/>
  <c r="B5" i="28"/>
  <c r="G71" i="27"/>
  <c r="K71" i="27"/>
  <c r="E71" i="27"/>
  <c r="H71" i="27"/>
  <c r="F71" i="27"/>
  <c r="P69" i="27"/>
  <c r="I71" i="27"/>
  <c r="N71" i="27"/>
  <c r="M71" i="27"/>
  <c r="P68" i="27"/>
  <c r="J71" i="27"/>
  <c r="P55" i="27"/>
  <c r="P66" i="27"/>
  <c r="C71" i="27"/>
  <c r="P67" i="27"/>
  <c r="L71" i="27"/>
  <c r="P65" i="27"/>
  <c r="D71" i="27"/>
  <c r="O56" i="27"/>
  <c r="Q14" i="27"/>
  <c r="B1" i="26"/>
  <c r="D90" i="24"/>
  <c r="N90" i="24"/>
  <c r="G90" i="24"/>
  <c r="AB14" i="24"/>
  <c r="V17" i="24"/>
  <c r="AB11" i="24"/>
  <c r="AB15" i="24"/>
  <c r="AC15" i="24" s="1"/>
  <c r="AC72" i="24" s="1"/>
  <c r="AD72" i="24" s="1"/>
  <c r="AB8" i="24"/>
  <c r="H17" i="24"/>
  <c r="M90" i="24"/>
  <c r="E17" i="24"/>
  <c r="J90" i="24"/>
  <c r="G17" i="24"/>
  <c r="K90" i="24"/>
  <c r="AB12" i="24"/>
  <c r="Z17" i="24"/>
  <c r="P88" i="24"/>
  <c r="C17" i="24"/>
  <c r="AB7" i="24"/>
  <c r="AA74" i="24"/>
  <c r="L90" i="24"/>
  <c r="P84" i="24"/>
  <c r="P85" i="24"/>
  <c r="P86" i="24"/>
  <c r="AB73" i="24"/>
  <c r="C90" i="24"/>
  <c r="P87" i="24"/>
  <c r="L17" i="24"/>
  <c r="AB9" i="24"/>
  <c r="F90" i="24"/>
  <c r="AB10" i="24"/>
  <c r="D17" i="24"/>
  <c r="E90" i="24"/>
  <c r="AB13" i="24"/>
  <c r="H90" i="24"/>
  <c r="F17" i="24"/>
  <c r="I90" i="24"/>
  <c r="Q8" i="20"/>
  <c r="U8" i="20"/>
  <c r="P15" i="27" l="1"/>
  <c r="F59" i="30"/>
  <c r="F61" i="30" s="1"/>
  <c r="Q18" i="30" s="1"/>
  <c r="F60" i="30"/>
  <c r="F62" i="30" s="1"/>
  <c r="Y18" i="30" s="1"/>
  <c r="D59" i="30"/>
  <c r="D61" i="30" s="1"/>
  <c r="M18" i="30" s="1"/>
  <c r="D60" i="30"/>
  <c r="D62" i="30" s="1"/>
  <c r="U18" i="30" s="1"/>
  <c r="E32" i="24"/>
  <c r="E33" i="24" s="1"/>
  <c r="E34" i="24" s="1"/>
  <c r="D32" i="24"/>
  <c r="D33" i="24" s="1"/>
  <c r="D34" i="24" s="1"/>
  <c r="F32" i="24"/>
  <c r="F33" i="24" s="1"/>
  <c r="F34" i="24" s="1"/>
  <c r="O16" i="27"/>
  <c r="P16" i="27" s="1"/>
  <c r="Q9" i="27"/>
  <c r="E57" i="27"/>
  <c r="E58" i="27" s="1"/>
  <c r="Q11" i="27"/>
  <c r="C37" i="27"/>
  <c r="K17" i="27" s="1"/>
  <c r="C36" i="27"/>
  <c r="G17" i="27" s="1"/>
  <c r="R14" i="27"/>
  <c r="Q54" i="27"/>
  <c r="R54" i="27" s="1"/>
  <c r="Q7" i="27"/>
  <c r="C57" i="27"/>
  <c r="Q10" i="27"/>
  <c r="F57" i="27"/>
  <c r="F58" i="27" s="1"/>
  <c r="Q12" i="27"/>
  <c r="D37" i="27"/>
  <c r="L17" i="27" s="1"/>
  <c r="D36" i="27"/>
  <c r="H17" i="27" s="1"/>
  <c r="Q8" i="27"/>
  <c r="D57" i="27"/>
  <c r="D58" i="27" s="1"/>
  <c r="Q13" i="27"/>
  <c r="E37" i="27"/>
  <c r="M17" i="27" s="1"/>
  <c r="E36" i="27"/>
  <c r="I17" i="27" s="1"/>
  <c r="P94" i="30"/>
  <c r="AA17" i="30"/>
  <c r="AB16" i="30"/>
  <c r="L80" i="30"/>
  <c r="L81" i="30" s="1"/>
  <c r="P80" i="30"/>
  <c r="P81" i="30" s="1"/>
  <c r="N80" i="30"/>
  <c r="N81" i="30" s="1"/>
  <c r="O95" i="30"/>
  <c r="X80" i="30"/>
  <c r="X81" i="30" s="1"/>
  <c r="T80" i="30"/>
  <c r="T81" i="30" s="1"/>
  <c r="P70" i="27"/>
  <c r="P56" i="27"/>
  <c r="O71" i="27"/>
  <c r="F18" i="27"/>
  <c r="C18" i="27"/>
  <c r="D18" i="27"/>
  <c r="E18" i="27"/>
  <c r="AB16" i="24"/>
  <c r="AA17" i="24"/>
  <c r="P89" i="24"/>
  <c r="O90" i="24"/>
  <c r="R8" i="20"/>
  <c r="Q22" i="20"/>
  <c r="N14" i="19"/>
  <c r="N15" i="19" s="1"/>
  <c r="M14" i="19"/>
  <c r="M15" i="19" s="1"/>
  <c r="L14" i="19"/>
  <c r="L15" i="19" s="1"/>
  <c r="K14" i="19"/>
  <c r="K15" i="19" s="1"/>
  <c r="J14" i="19"/>
  <c r="J15" i="19" s="1"/>
  <c r="I14" i="19"/>
  <c r="I15" i="19" s="1"/>
  <c r="H14" i="19"/>
  <c r="H15" i="19" s="1"/>
  <c r="G14" i="19"/>
  <c r="F14" i="19"/>
  <c r="E14" i="19"/>
  <c r="D14" i="19"/>
  <c r="C14" i="19"/>
  <c r="P12" i="19"/>
  <c r="P11" i="19"/>
  <c r="P10" i="19"/>
  <c r="P9" i="19"/>
  <c r="P8" i="19"/>
  <c r="N14" i="20"/>
  <c r="M14" i="20"/>
  <c r="L14" i="20"/>
  <c r="K14" i="20"/>
  <c r="J14" i="20"/>
  <c r="I14" i="20"/>
  <c r="H14" i="20"/>
  <c r="G14" i="20"/>
  <c r="F14" i="20"/>
  <c r="E14" i="20"/>
  <c r="D14" i="20"/>
  <c r="C14" i="20"/>
  <c r="P12" i="20"/>
  <c r="R12" i="20" s="1"/>
  <c r="P11" i="20"/>
  <c r="P10" i="20"/>
  <c r="P9" i="20"/>
  <c r="P8" i="20"/>
  <c r="N84" i="10"/>
  <c r="L5" i="23" s="1"/>
  <c r="N83" i="10"/>
  <c r="L4" i="23" s="1"/>
  <c r="N82" i="10"/>
  <c r="L3" i="23" s="1"/>
  <c r="N81" i="10"/>
  <c r="L2" i="23" s="1"/>
  <c r="N80" i="10"/>
  <c r="L1" i="23" s="1"/>
  <c r="M84" i="10"/>
  <c r="K5" i="23" s="1"/>
  <c r="M83" i="10"/>
  <c r="K4" i="23" s="1"/>
  <c r="M82" i="10"/>
  <c r="K3" i="23" s="1"/>
  <c r="M81" i="10"/>
  <c r="K2" i="23" s="1"/>
  <c r="M80" i="10"/>
  <c r="K1" i="23" s="1"/>
  <c r="L84" i="10"/>
  <c r="J5" i="23" s="1"/>
  <c r="L83" i="10"/>
  <c r="J4" i="23" s="1"/>
  <c r="L82" i="10"/>
  <c r="J3" i="23" s="1"/>
  <c r="L81" i="10"/>
  <c r="J2" i="23" s="1"/>
  <c r="L80" i="10"/>
  <c r="J1" i="23" s="1"/>
  <c r="K84" i="10"/>
  <c r="I5" i="23" s="1"/>
  <c r="K83" i="10"/>
  <c r="I4" i="23" s="1"/>
  <c r="K82" i="10"/>
  <c r="I3" i="23" s="1"/>
  <c r="K81" i="10"/>
  <c r="I2" i="23" s="1"/>
  <c r="K80" i="10"/>
  <c r="I1" i="23" s="1"/>
  <c r="J84" i="10"/>
  <c r="H5" i="23" s="1"/>
  <c r="J83" i="10"/>
  <c r="H4" i="23" s="1"/>
  <c r="J82" i="10"/>
  <c r="H3" i="23" s="1"/>
  <c r="J81" i="10"/>
  <c r="H2" i="23" s="1"/>
  <c r="J80" i="10"/>
  <c r="I84" i="10"/>
  <c r="G5" i="23" s="1"/>
  <c r="I83" i="10"/>
  <c r="G4" i="23" s="1"/>
  <c r="I82" i="10"/>
  <c r="G3" i="23" s="1"/>
  <c r="I81" i="10"/>
  <c r="G2" i="23" s="1"/>
  <c r="I80" i="10"/>
  <c r="H84" i="10"/>
  <c r="F5" i="23" s="1"/>
  <c r="H82" i="10"/>
  <c r="F3" i="23" s="1"/>
  <c r="H83" i="10"/>
  <c r="F4" i="23" s="1"/>
  <c r="H81" i="10"/>
  <c r="F2" i="23" s="1"/>
  <c r="H80" i="10"/>
  <c r="G84" i="10"/>
  <c r="E5" i="23" s="1"/>
  <c r="G83" i="10"/>
  <c r="G82" i="10"/>
  <c r="G81" i="10"/>
  <c r="G80" i="10"/>
  <c r="E1" i="23" s="1"/>
  <c r="F84" i="10"/>
  <c r="F83" i="10"/>
  <c r="D4" i="23" s="1"/>
  <c r="F82" i="10"/>
  <c r="D3" i="23" s="1"/>
  <c r="F81" i="10"/>
  <c r="D2" i="23" s="1"/>
  <c r="F80" i="10"/>
  <c r="E84" i="10"/>
  <c r="E83" i="10"/>
  <c r="C4" i="23" s="1"/>
  <c r="E82" i="10"/>
  <c r="C3" i="23" s="1"/>
  <c r="E81" i="10"/>
  <c r="C2" i="23" s="1"/>
  <c r="E80" i="10"/>
  <c r="D84" i="10"/>
  <c r="D83" i="10"/>
  <c r="B4" i="23" s="1"/>
  <c r="D82" i="10"/>
  <c r="B3" i="23" s="1"/>
  <c r="D81" i="10"/>
  <c r="B2" i="23" s="1"/>
  <c r="D80" i="10"/>
  <c r="C84" i="10"/>
  <c r="C83" i="10"/>
  <c r="C82" i="10"/>
  <c r="C81" i="10"/>
  <c r="C80" i="10"/>
  <c r="A1" i="23" s="1"/>
  <c r="C35" i="24" l="1"/>
  <c r="C37" i="24" s="1"/>
  <c r="E35" i="24"/>
  <c r="E36" i="24" s="1"/>
  <c r="D35" i="24"/>
  <c r="D36" i="24" s="1"/>
  <c r="F35" i="24"/>
  <c r="D5" i="23"/>
  <c r="C5" i="23"/>
  <c r="B5" i="23"/>
  <c r="A5" i="23"/>
  <c r="E4" i="23"/>
  <c r="A4" i="23"/>
  <c r="E3" i="23"/>
  <c r="A3" i="23"/>
  <c r="E2" i="23"/>
  <c r="A2" i="23"/>
  <c r="H1" i="23"/>
  <c r="G1" i="23"/>
  <c r="F1" i="23"/>
  <c r="D1" i="23"/>
  <c r="C1" i="23"/>
  <c r="B1" i="23"/>
  <c r="E15" i="20"/>
  <c r="U10" i="20"/>
  <c r="R13" i="27"/>
  <c r="Q53" i="27"/>
  <c r="R53" i="27" s="1"/>
  <c r="H57" i="27"/>
  <c r="H58" i="27" s="1"/>
  <c r="H18" i="27"/>
  <c r="R10" i="27"/>
  <c r="Q50" i="27"/>
  <c r="R50" i="27" s="1"/>
  <c r="R11" i="27"/>
  <c r="Q51" i="27"/>
  <c r="R51" i="27" s="1"/>
  <c r="U11" i="20"/>
  <c r="F15" i="20"/>
  <c r="L57" i="27"/>
  <c r="L58" i="27" s="1"/>
  <c r="L18" i="27"/>
  <c r="C58" i="27"/>
  <c r="G57" i="27"/>
  <c r="G58" i="27" s="1"/>
  <c r="G18" i="27"/>
  <c r="I57" i="27"/>
  <c r="I58" i="27" s="1"/>
  <c r="I18" i="27"/>
  <c r="R8" i="27"/>
  <c r="Q48" i="27"/>
  <c r="R48" i="27" s="1"/>
  <c r="R12" i="27"/>
  <c r="Q52" i="27"/>
  <c r="R52" i="27" s="1"/>
  <c r="Q47" i="27"/>
  <c r="Q15" i="27"/>
  <c r="R7" i="27"/>
  <c r="F38" i="27"/>
  <c r="F36" i="27" s="1"/>
  <c r="R9" i="27"/>
  <c r="Q49" i="27"/>
  <c r="R49" i="27" s="1"/>
  <c r="P13" i="20"/>
  <c r="P14" i="20" s="1"/>
  <c r="D15" i="20"/>
  <c r="U9" i="20"/>
  <c r="M57" i="27"/>
  <c r="M58" i="27" s="1"/>
  <c r="M18" i="27"/>
  <c r="K57" i="27"/>
  <c r="K58" i="27" s="1"/>
  <c r="K18" i="27"/>
  <c r="H80" i="30"/>
  <c r="H81" i="30" s="1"/>
  <c r="F80" i="30"/>
  <c r="F81" i="30" s="1"/>
  <c r="D80" i="30"/>
  <c r="D81" i="30" s="1"/>
  <c r="U80" i="30"/>
  <c r="U81" i="30" s="1"/>
  <c r="O80" i="30"/>
  <c r="O81" i="30" s="1"/>
  <c r="W80" i="30"/>
  <c r="W81" i="30" s="1"/>
  <c r="G86" i="10"/>
  <c r="P82" i="10"/>
  <c r="J86" i="10"/>
  <c r="D86" i="10"/>
  <c r="N86" i="10"/>
  <c r="D15" i="19"/>
  <c r="D16" i="19" s="1"/>
  <c r="E15" i="19"/>
  <c r="E16" i="19" s="1"/>
  <c r="F15" i="19"/>
  <c r="F16" i="19" s="1"/>
  <c r="Q9" i="19"/>
  <c r="I16" i="19"/>
  <c r="I29" i="19"/>
  <c r="P13" i="19"/>
  <c r="U8" i="19"/>
  <c r="U9" i="19"/>
  <c r="U10" i="19"/>
  <c r="U11" i="19"/>
  <c r="O14" i="19"/>
  <c r="C15" i="19"/>
  <c r="L29" i="19"/>
  <c r="L16" i="19"/>
  <c r="G15" i="19"/>
  <c r="Q12" i="19"/>
  <c r="J16" i="19"/>
  <c r="J29" i="19"/>
  <c r="M29" i="19"/>
  <c r="M16" i="19"/>
  <c r="N29" i="19"/>
  <c r="N16" i="19"/>
  <c r="H16" i="19"/>
  <c r="H29" i="19"/>
  <c r="K16" i="19"/>
  <c r="K29" i="19"/>
  <c r="P83" i="10"/>
  <c r="M86" i="10"/>
  <c r="L86" i="10"/>
  <c r="K86" i="10"/>
  <c r="P81" i="10"/>
  <c r="I86" i="10"/>
  <c r="H86" i="10"/>
  <c r="P80" i="10"/>
  <c r="P84" i="10"/>
  <c r="F86" i="10"/>
  <c r="E86" i="10"/>
  <c r="C86" i="10"/>
  <c r="D37" i="24" l="1"/>
  <c r="C36" i="24"/>
  <c r="E37" i="24"/>
  <c r="E46" i="24"/>
  <c r="E45" i="24"/>
  <c r="P18" i="24" s="1"/>
  <c r="P75" i="24" s="1"/>
  <c r="P76" i="24" s="1"/>
  <c r="E44" i="24"/>
  <c r="F36" i="24"/>
  <c r="F37" i="24"/>
  <c r="E38" i="24"/>
  <c r="E51" i="24" s="1"/>
  <c r="AC12" i="24"/>
  <c r="AC11" i="24" s="1"/>
  <c r="AC68" i="24" s="1"/>
  <c r="AD68" i="24" s="1"/>
  <c r="D46" i="24"/>
  <c r="D45" i="24"/>
  <c r="N18" i="24" s="1"/>
  <c r="N75" i="24" s="1"/>
  <c r="N76" i="24" s="1"/>
  <c r="D44" i="24"/>
  <c r="C38" i="24"/>
  <c r="C51" i="24" s="1"/>
  <c r="AC8" i="24"/>
  <c r="D38" i="24"/>
  <c r="D51" i="24" s="1"/>
  <c r="AC10" i="24"/>
  <c r="C45" i="24"/>
  <c r="L18" i="24" s="1"/>
  <c r="L75" i="24" s="1"/>
  <c r="L76" i="24" s="1"/>
  <c r="C44" i="24"/>
  <c r="C46" i="24"/>
  <c r="D29" i="19"/>
  <c r="AC71" i="30"/>
  <c r="AD71" i="30" s="1"/>
  <c r="E80" i="30"/>
  <c r="E81" i="30" s="1"/>
  <c r="AC73" i="30"/>
  <c r="AD73" i="30" s="1"/>
  <c r="G80" i="30"/>
  <c r="G81" i="30" s="1"/>
  <c r="AC69" i="30"/>
  <c r="C80" i="30"/>
  <c r="F29" i="20"/>
  <c r="F16" i="20"/>
  <c r="Q11" i="20"/>
  <c r="R47" i="27"/>
  <c r="Q55" i="27"/>
  <c r="D16" i="20"/>
  <c r="D29" i="20"/>
  <c r="O15" i="20"/>
  <c r="Q9" i="20"/>
  <c r="J17" i="27"/>
  <c r="E16" i="20"/>
  <c r="E29" i="20"/>
  <c r="Q10" i="20"/>
  <c r="AC74" i="30"/>
  <c r="AD74" i="30" s="1"/>
  <c r="AC70" i="30"/>
  <c r="AD70" i="30" s="1"/>
  <c r="AC72" i="30"/>
  <c r="AD72" i="30" s="1"/>
  <c r="M80" i="30"/>
  <c r="M81" i="30" s="1"/>
  <c r="S80" i="30"/>
  <c r="S81" i="30" s="1"/>
  <c r="O86" i="10"/>
  <c r="Q11" i="19"/>
  <c r="Q25" i="19" s="1"/>
  <c r="Q10" i="19"/>
  <c r="R10" i="19" s="1"/>
  <c r="E29" i="19"/>
  <c r="F29" i="19"/>
  <c r="P14" i="19"/>
  <c r="Q23" i="19"/>
  <c r="R9" i="19"/>
  <c r="R12" i="19"/>
  <c r="Q26" i="19"/>
  <c r="G16" i="19"/>
  <c r="G29" i="19"/>
  <c r="C29" i="19"/>
  <c r="O15" i="19"/>
  <c r="C16" i="19"/>
  <c r="Q8" i="19"/>
  <c r="P85" i="10"/>
  <c r="U70" i="10"/>
  <c r="M70" i="10"/>
  <c r="F70" i="10"/>
  <c r="E70" i="10"/>
  <c r="D70" i="10"/>
  <c r="C70" i="10"/>
  <c r="AB68" i="10"/>
  <c r="L70" i="10"/>
  <c r="AB67" i="10"/>
  <c r="Y70" i="10"/>
  <c r="Q70" i="10"/>
  <c r="I70" i="10"/>
  <c r="AB65" i="10"/>
  <c r="W70" i="10"/>
  <c r="O70" i="10"/>
  <c r="AB64" i="10"/>
  <c r="T70" i="10"/>
  <c r="AB63" i="10"/>
  <c r="AB62" i="10"/>
  <c r="Z70" i="10"/>
  <c r="X70" i="10"/>
  <c r="V70" i="10"/>
  <c r="R70" i="10"/>
  <c r="P70" i="10"/>
  <c r="N70" i="10"/>
  <c r="J70" i="10"/>
  <c r="AB61" i="10"/>
  <c r="S70" i="10"/>
  <c r="K70" i="10"/>
  <c r="AB60" i="10"/>
  <c r="F69" i="19"/>
  <c r="E69" i="19"/>
  <c r="D69" i="19"/>
  <c r="C69" i="19"/>
  <c r="F68" i="19"/>
  <c r="E68" i="19"/>
  <c r="D68" i="19"/>
  <c r="C68" i="19"/>
  <c r="F49" i="19"/>
  <c r="E49" i="19"/>
  <c r="D49" i="19"/>
  <c r="C49" i="19"/>
  <c r="F48" i="19"/>
  <c r="E48" i="19"/>
  <c r="D48" i="19"/>
  <c r="C48" i="19"/>
  <c r="F39" i="19"/>
  <c r="E39" i="19"/>
  <c r="D39" i="19"/>
  <c r="C39" i="19"/>
  <c r="F38" i="19"/>
  <c r="E38" i="19"/>
  <c r="D38" i="19"/>
  <c r="C38" i="19"/>
  <c r="F34" i="19"/>
  <c r="E34" i="19"/>
  <c r="D34" i="19"/>
  <c r="C34" i="19"/>
  <c r="F68" i="20"/>
  <c r="F67" i="20"/>
  <c r="E68" i="20"/>
  <c r="E67" i="20"/>
  <c r="D68" i="20"/>
  <c r="D67" i="20"/>
  <c r="C68" i="20"/>
  <c r="C67" i="20"/>
  <c r="C18" i="24" l="1"/>
  <c r="C75" i="24" s="1"/>
  <c r="C76" i="24" s="1"/>
  <c r="D18" i="24"/>
  <c r="D75" i="24" s="1"/>
  <c r="D76" i="24" s="1"/>
  <c r="F44" i="24"/>
  <c r="I18" i="24" s="1"/>
  <c r="F46" i="24"/>
  <c r="F45" i="24"/>
  <c r="C55" i="24"/>
  <c r="C54" i="24"/>
  <c r="C56" i="24" s="1"/>
  <c r="K18" i="24" s="1"/>
  <c r="K75" i="24" s="1"/>
  <c r="K76" i="24" s="1"/>
  <c r="G18" i="24"/>
  <c r="G75" i="24" s="1"/>
  <c r="G76" i="24" s="1"/>
  <c r="H18" i="24"/>
  <c r="H75" i="24" s="1"/>
  <c r="H76" i="24" s="1"/>
  <c r="AC9" i="24"/>
  <c r="AC66" i="24" s="1"/>
  <c r="AD66" i="24" s="1"/>
  <c r="AC67" i="24"/>
  <c r="AD67" i="24" s="1"/>
  <c r="E18" i="24"/>
  <c r="E75" i="24" s="1"/>
  <c r="E76" i="24" s="1"/>
  <c r="F18" i="24"/>
  <c r="F75" i="24" s="1"/>
  <c r="F76" i="24" s="1"/>
  <c r="E55" i="24"/>
  <c r="E54" i="24"/>
  <c r="AC7" i="24"/>
  <c r="AC64" i="24" s="1"/>
  <c r="AD64" i="24" s="1"/>
  <c r="AC65" i="24"/>
  <c r="AD65" i="24" s="1"/>
  <c r="AC69" i="24"/>
  <c r="AD69" i="24" s="1"/>
  <c r="D55" i="24"/>
  <c r="D54" i="24"/>
  <c r="AC14" i="24"/>
  <c r="AC13" i="24" s="1"/>
  <c r="F38" i="24"/>
  <c r="F51" i="24" s="1"/>
  <c r="J57" i="27"/>
  <c r="J18" i="27"/>
  <c r="O29" i="20"/>
  <c r="R11" i="20"/>
  <c r="Q25" i="20"/>
  <c r="F37" i="27"/>
  <c r="N17" i="27" s="1"/>
  <c r="Q13" i="20"/>
  <c r="Q15" i="20" s="1"/>
  <c r="R9" i="20"/>
  <c r="Q23" i="20"/>
  <c r="R10" i="20"/>
  <c r="Q24" i="20"/>
  <c r="C81" i="30"/>
  <c r="K80" i="30"/>
  <c r="K81" i="30" s="1"/>
  <c r="AD69" i="30"/>
  <c r="R80" i="30"/>
  <c r="R81" i="30" s="1"/>
  <c r="Z80" i="30"/>
  <c r="Z81" i="30" s="1"/>
  <c r="D41" i="19"/>
  <c r="C42" i="19"/>
  <c r="R11" i="19"/>
  <c r="D42" i="19"/>
  <c r="C51" i="19"/>
  <c r="D51" i="19"/>
  <c r="D52" i="19"/>
  <c r="Q24" i="19"/>
  <c r="E52" i="19"/>
  <c r="C41" i="19"/>
  <c r="O29" i="19"/>
  <c r="C74" i="19"/>
  <c r="D74" i="19"/>
  <c r="D72" i="19"/>
  <c r="C72" i="19"/>
  <c r="F72" i="19"/>
  <c r="E72" i="19"/>
  <c r="E51" i="19"/>
  <c r="E42" i="19"/>
  <c r="Q22" i="19"/>
  <c r="R8" i="19"/>
  <c r="Q13" i="19"/>
  <c r="Q15" i="19" s="1"/>
  <c r="E69" i="20"/>
  <c r="D69" i="20"/>
  <c r="C69" i="20"/>
  <c r="F69" i="20"/>
  <c r="E74" i="19"/>
  <c r="F71" i="19"/>
  <c r="E41" i="19"/>
  <c r="F58" i="19"/>
  <c r="F77" i="19" s="1"/>
  <c r="E70" i="19"/>
  <c r="E73" i="19" s="1"/>
  <c r="F41" i="19"/>
  <c r="F70" i="19"/>
  <c r="F73" i="19" s="1"/>
  <c r="C71" i="19"/>
  <c r="E71" i="19"/>
  <c r="F51" i="19"/>
  <c r="F52" i="19"/>
  <c r="F42" i="19"/>
  <c r="C70" i="19"/>
  <c r="C73" i="19" s="1"/>
  <c r="D70" i="19"/>
  <c r="D73" i="19" s="1"/>
  <c r="F74" i="19"/>
  <c r="C52" i="19"/>
  <c r="AB66" i="10"/>
  <c r="AB69" i="10" s="1"/>
  <c r="H70" i="10"/>
  <c r="G70" i="10"/>
  <c r="D71" i="19"/>
  <c r="E40" i="19"/>
  <c r="E43" i="19" s="1"/>
  <c r="E58" i="19"/>
  <c r="C54" i="19"/>
  <c r="D54" i="19"/>
  <c r="E54" i="19"/>
  <c r="F40" i="19"/>
  <c r="F43" i="19" s="1"/>
  <c r="C58" i="19"/>
  <c r="C50" i="19"/>
  <c r="C53" i="19" s="1"/>
  <c r="C59" i="19"/>
  <c r="F54" i="19"/>
  <c r="D50" i="19"/>
  <c r="D53" i="19" s="1"/>
  <c r="D59" i="19"/>
  <c r="E50" i="19"/>
  <c r="E53" i="19" s="1"/>
  <c r="E59" i="19"/>
  <c r="C40" i="19"/>
  <c r="C43" i="19" s="1"/>
  <c r="F50" i="19"/>
  <c r="F53" i="19" s="1"/>
  <c r="F59" i="19"/>
  <c r="D40" i="19"/>
  <c r="D43" i="19" s="1"/>
  <c r="D58" i="19"/>
  <c r="F49" i="20"/>
  <c r="E49" i="20"/>
  <c r="D49" i="20"/>
  <c r="C49" i="20"/>
  <c r="C52" i="20" s="1"/>
  <c r="F48" i="20"/>
  <c r="E48" i="20"/>
  <c r="D48" i="20"/>
  <c r="C48" i="20"/>
  <c r="F39" i="20"/>
  <c r="E39" i="20"/>
  <c r="D39" i="20"/>
  <c r="C39" i="20"/>
  <c r="F38" i="20"/>
  <c r="E38" i="20"/>
  <c r="D38" i="20"/>
  <c r="C38" i="20"/>
  <c r="F34" i="20"/>
  <c r="E34" i="20"/>
  <c r="E70" i="20" s="1"/>
  <c r="D34" i="20"/>
  <c r="D73" i="20" s="1"/>
  <c r="C34" i="20"/>
  <c r="C71" i="20" s="1"/>
  <c r="N28" i="20"/>
  <c r="N30" i="20" s="1"/>
  <c r="M28" i="20"/>
  <c r="M30" i="20" s="1"/>
  <c r="L28" i="20"/>
  <c r="L30" i="20" s="1"/>
  <c r="K28" i="20"/>
  <c r="K30" i="20" s="1"/>
  <c r="J28" i="20"/>
  <c r="J30" i="20" s="1"/>
  <c r="I28" i="20"/>
  <c r="I30" i="20" s="1"/>
  <c r="H28" i="20"/>
  <c r="H30" i="20" s="1"/>
  <c r="G28" i="20"/>
  <c r="G30" i="20" s="1"/>
  <c r="F28" i="20"/>
  <c r="E28" i="20"/>
  <c r="D28" i="20"/>
  <c r="C28" i="20"/>
  <c r="P26" i="20"/>
  <c r="R26" i="20" s="1"/>
  <c r="P25" i="20"/>
  <c r="R25" i="20" s="1"/>
  <c r="P24" i="20"/>
  <c r="P23" i="20"/>
  <c r="R23" i="20" s="1"/>
  <c r="P22" i="20"/>
  <c r="F54" i="24" l="1"/>
  <c r="F55" i="24"/>
  <c r="E56" i="24"/>
  <c r="O18" i="24" s="1"/>
  <c r="O75" i="24" s="1"/>
  <c r="O76" i="24" s="1"/>
  <c r="D56" i="24"/>
  <c r="M18" i="24" s="1"/>
  <c r="M75" i="24" s="1"/>
  <c r="M76" i="24" s="1"/>
  <c r="R24" i="20"/>
  <c r="N57" i="27"/>
  <c r="N58" i="27" s="1"/>
  <c r="N18" i="27"/>
  <c r="O17" i="27"/>
  <c r="R18" i="24"/>
  <c r="R75" i="24" s="1"/>
  <c r="R76" i="24" s="1"/>
  <c r="Q27" i="20"/>
  <c r="Q29" i="20" s="1"/>
  <c r="J58" i="27"/>
  <c r="O57" i="27"/>
  <c r="J80" i="30"/>
  <c r="J81" i="30" s="1"/>
  <c r="Y80" i="30"/>
  <c r="Y81" i="30" s="1"/>
  <c r="AC76" i="30"/>
  <c r="AD76" i="30" s="1"/>
  <c r="Q80" i="30"/>
  <c r="Q81" i="30" s="1"/>
  <c r="AA70" i="10"/>
  <c r="Q27" i="19"/>
  <c r="Q29" i="19" s="1"/>
  <c r="D51" i="20"/>
  <c r="F35" i="20"/>
  <c r="F30" i="20"/>
  <c r="E35" i="20"/>
  <c r="E30" i="20"/>
  <c r="D35" i="20"/>
  <c r="D30" i="20"/>
  <c r="R22" i="20"/>
  <c r="P27" i="20"/>
  <c r="C35" i="20"/>
  <c r="O28" i="20"/>
  <c r="C30" i="20"/>
  <c r="E51" i="20"/>
  <c r="E41" i="20"/>
  <c r="E71" i="20"/>
  <c r="E73" i="20"/>
  <c r="F51" i="20"/>
  <c r="F72" i="20"/>
  <c r="D71" i="20"/>
  <c r="D70" i="20"/>
  <c r="D41" i="20"/>
  <c r="C72" i="20"/>
  <c r="F70" i="20"/>
  <c r="F73" i="20"/>
  <c r="F41" i="20"/>
  <c r="F71" i="20"/>
  <c r="E72" i="20"/>
  <c r="D72" i="20"/>
  <c r="C70" i="20"/>
  <c r="C73" i="20"/>
  <c r="C58" i="20"/>
  <c r="C42" i="20"/>
  <c r="F58" i="20"/>
  <c r="F42" i="20"/>
  <c r="F52" i="20"/>
  <c r="E58" i="20"/>
  <c r="E42" i="20"/>
  <c r="E50" i="20"/>
  <c r="E53" i="20" s="1"/>
  <c r="E52" i="20"/>
  <c r="D58" i="20"/>
  <c r="D42" i="20"/>
  <c r="D50" i="20"/>
  <c r="D53" i="20" s="1"/>
  <c r="C41" i="20"/>
  <c r="D52" i="20"/>
  <c r="C50" i="20"/>
  <c r="C53" i="20" s="1"/>
  <c r="C51" i="20"/>
  <c r="F61" i="19"/>
  <c r="C77" i="19"/>
  <c r="C60" i="19"/>
  <c r="C63" i="19" s="1"/>
  <c r="C61" i="19"/>
  <c r="C64" i="19"/>
  <c r="D78" i="19"/>
  <c r="D62" i="19"/>
  <c r="F62" i="19"/>
  <c r="F78" i="19"/>
  <c r="Z18" i="24" s="1"/>
  <c r="Z75" i="24" s="1"/>
  <c r="Z76" i="24" s="1"/>
  <c r="D60" i="19"/>
  <c r="D63" i="19" s="1"/>
  <c r="D77" i="19"/>
  <c r="D64" i="19"/>
  <c r="D61" i="19"/>
  <c r="F64" i="19"/>
  <c r="C78" i="19"/>
  <c r="C62" i="19"/>
  <c r="E60" i="19"/>
  <c r="E63" i="19" s="1"/>
  <c r="E77" i="19"/>
  <c r="E64" i="19"/>
  <c r="E61" i="19"/>
  <c r="E62" i="19"/>
  <c r="E78" i="19"/>
  <c r="F60" i="19"/>
  <c r="F63" i="19" s="1"/>
  <c r="F80" i="19"/>
  <c r="C40" i="20"/>
  <c r="C43" i="20" s="1"/>
  <c r="F40" i="20"/>
  <c r="F43" i="20" s="1"/>
  <c r="D40" i="20"/>
  <c r="D43" i="20" s="1"/>
  <c r="E40" i="20"/>
  <c r="E43" i="20" s="1"/>
  <c r="F50" i="20"/>
  <c r="F53" i="20" s="1"/>
  <c r="C57" i="20"/>
  <c r="D57" i="20"/>
  <c r="E57" i="20"/>
  <c r="F57" i="20"/>
  <c r="U17" i="10"/>
  <c r="W17" i="10"/>
  <c r="Y17" i="10"/>
  <c r="S17" i="10"/>
  <c r="Q17" i="10"/>
  <c r="M17" i="10"/>
  <c r="K17" i="10"/>
  <c r="C28" i="19"/>
  <c r="D28" i="19"/>
  <c r="E28" i="19"/>
  <c r="F28" i="19"/>
  <c r="G28" i="19"/>
  <c r="H28" i="19"/>
  <c r="I28" i="19"/>
  <c r="J28" i="19"/>
  <c r="K28" i="19"/>
  <c r="L28" i="19"/>
  <c r="M28" i="19"/>
  <c r="N28" i="19"/>
  <c r="P23" i="19"/>
  <c r="R23" i="19" s="1"/>
  <c r="P24" i="19"/>
  <c r="R24" i="19" s="1"/>
  <c r="P25" i="19"/>
  <c r="R25" i="19" s="1"/>
  <c r="P26" i="19"/>
  <c r="R26" i="19" s="1"/>
  <c r="P22" i="19"/>
  <c r="T18" i="24" l="1"/>
  <c r="T75" i="24" s="1"/>
  <c r="T76" i="24" s="1"/>
  <c r="C57" i="24"/>
  <c r="S18" i="24" s="1"/>
  <c r="S75" i="24" s="1"/>
  <c r="S76" i="24" s="1"/>
  <c r="X18" i="24"/>
  <c r="X75" i="24" s="1"/>
  <c r="X76" i="24" s="1"/>
  <c r="E57" i="24"/>
  <c r="W18" i="24" s="1"/>
  <c r="W75" i="24" s="1"/>
  <c r="W76" i="24" s="1"/>
  <c r="V18" i="24"/>
  <c r="V75" i="24" s="1"/>
  <c r="V76" i="24" s="1"/>
  <c r="D57" i="24"/>
  <c r="U18" i="24" s="1"/>
  <c r="U75" i="24" s="1"/>
  <c r="U76" i="24" s="1"/>
  <c r="F57" i="24"/>
  <c r="Y18" i="24" s="1"/>
  <c r="Y75" i="24" s="1"/>
  <c r="Y76" i="24" s="1"/>
  <c r="J18" i="24"/>
  <c r="J75" i="24" s="1"/>
  <c r="J76" i="24" s="1"/>
  <c r="AC71" i="24"/>
  <c r="AD71" i="24" s="1"/>
  <c r="F56" i="24"/>
  <c r="Q18" i="24" s="1"/>
  <c r="Q75" i="24" s="1"/>
  <c r="Q76" i="24" s="1"/>
  <c r="AC75" i="30"/>
  <c r="AC16" i="30"/>
  <c r="I80" i="30"/>
  <c r="AA18" i="30"/>
  <c r="P27" i="19"/>
  <c r="F35" i="19"/>
  <c r="F30" i="19"/>
  <c r="E35" i="19"/>
  <c r="E30" i="19"/>
  <c r="D35" i="19"/>
  <c r="D30" i="19"/>
  <c r="C35" i="19"/>
  <c r="O28" i="19"/>
  <c r="C30" i="19"/>
  <c r="E17" i="10"/>
  <c r="K30" i="19"/>
  <c r="N30" i="19"/>
  <c r="M30" i="19"/>
  <c r="L30" i="19"/>
  <c r="J30" i="19"/>
  <c r="E48" i="10"/>
  <c r="I30" i="19"/>
  <c r="H30" i="19"/>
  <c r="R22" i="19"/>
  <c r="G30" i="19"/>
  <c r="P28" i="20"/>
  <c r="F59" i="20"/>
  <c r="F62" i="20" s="1"/>
  <c r="F60" i="20"/>
  <c r="F76" i="20"/>
  <c r="F79" i="20" s="1"/>
  <c r="E76" i="20"/>
  <c r="E79" i="20" s="1"/>
  <c r="E60" i="20"/>
  <c r="D76" i="20"/>
  <c r="D79" i="20" s="1"/>
  <c r="D60" i="20"/>
  <c r="C77" i="20"/>
  <c r="C80" i="20" s="1"/>
  <c r="C61" i="20"/>
  <c r="E59" i="20"/>
  <c r="E62" i="20" s="1"/>
  <c r="D59" i="20"/>
  <c r="D62" i="20" s="1"/>
  <c r="F63" i="20"/>
  <c r="F77" i="20"/>
  <c r="F61" i="20"/>
  <c r="E33" i="10"/>
  <c r="E41" i="10" s="1"/>
  <c r="P18" i="10" s="1"/>
  <c r="P71" i="10" s="1"/>
  <c r="P72" i="10" s="1"/>
  <c r="E63" i="20"/>
  <c r="E61" i="20"/>
  <c r="E77" i="20"/>
  <c r="C59" i="20"/>
  <c r="C62" i="20" s="1"/>
  <c r="C60" i="20"/>
  <c r="C63" i="20"/>
  <c r="C76" i="20"/>
  <c r="C33" i="10"/>
  <c r="C34" i="10" s="1"/>
  <c r="AC8" i="10" s="1"/>
  <c r="AC61" i="10" s="1"/>
  <c r="D33" i="10"/>
  <c r="D34" i="10" s="1"/>
  <c r="AC10" i="10" s="1"/>
  <c r="D77" i="20"/>
  <c r="D63" i="20"/>
  <c r="D61" i="20"/>
  <c r="F81" i="19"/>
  <c r="D81" i="19"/>
  <c r="E81" i="19"/>
  <c r="C81" i="19"/>
  <c r="E80" i="19"/>
  <c r="E83" i="19"/>
  <c r="E79" i="19"/>
  <c r="E82" i="19" s="1"/>
  <c r="F79" i="19"/>
  <c r="F82" i="19" s="1"/>
  <c r="D83" i="19"/>
  <c r="D80" i="19"/>
  <c r="D79" i="19"/>
  <c r="D82" i="19" s="1"/>
  <c r="F83" i="19"/>
  <c r="C83" i="19"/>
  <c r="C80" i="19"/>
  <c r="C79" i="19"/>
  <c r="C82" i="19" s="1"/>
  <c r="H17" i="10"/>
  <c r="F17" i="10"/>
  <c r="R17" i="10"/>
  <c r="G17" i="10"/>
  <c r="N17" i="10"/>
  <c r="Z17" i="10"/>
  <c r="AB12" i="10"/>
  <c r="X17" i="10"/>
  <c r="AB11" i="10"/>
  <c r="L17" i="10"/>
  <c r="D17" i="10"/>
  <c r="O17" i="10"/>
  <c r="C17" i="10"/>
  <c r="T17" i="10"/>
  <c r="P17" i="10"/>
  <c r="AB14" i="10"/>
  <c r="AB15" i="10"/>
  <c r="AC15" i="10" s="1"/>
  <c r="AB10" i="10"/>
  <c r="AB8" i="10"/>
  <c r="AB9" i="10"/>
  <c r="V17" i="10"/>
  <c r="AB7" i="10"/>
  <c r="J17" i="10"/>
  <c r="I17" i="10"/>
  <c r="AB13" i="10"/>
  <c r="AC68" i="10" l="1"/>
  <c r="AD68" i="10" s="1"/>
  <c r="D48" i="10"/>
  <c r="D49" i="10" s="1"/>
  <c r="D51" i="10" s="1"/>
  <c r="AC9" i="10"/>
  <c r="AC62" i="10" s="1"/>
  <c r="AD62" i="10" s="1"/>
  <c r="AC63" i="10"/>
  <c r="AD63" i="10" s="1"/>
  <c r="AC70" i="24"/>
  <c r="AC16" i="24"/>
  <c r="I75" i="24"/>
  <c r="AA18" i="24"/>
  <c r="I81" i="30"/>
  <c r="AA80" i="30"/>
  <c r="AD75" i="30"/>
  <c r="AC78" i="30"/>
  <c r="P28" i="19"/>
  <c r="F48" i="10"/>
  <c r="F49" i="10" s="1"/>
  <c r="F51" i="10" s="1"/>
  <c r="C48" i="10"/>
  <c r="C49" i="10" s="1"/>
  <c r="C51" i="10" s="1"/>
  <c r="AC7" i="10"/>
  <c r="E40" i="10"/>
  <c r="G18" i="10" s="1"/>
  <c r="G71" i="10" s="1"/>
  <c r="G72" i="10" s="1"/>
  <c r="E34" i="10"/>
  <c r="AC12" i="10" s="1"/>
  <c r="D42" i="10"/>
  <c r="V18" i="10" s="1"/>
  <c r="V71" i="10" s="1"/>
  <c r="V72" i="10" s="1"/>
  <c r="E42" i="10"/>
  <c r="X18" i="10" s="1"/>
  <c r="X71" i="10" s="1"/>
  <c r="X72" i="10" s="1"/>
  <c r="F80" i="20"/>
  <c r="F82" i="20"/>
  <c r="F78" i="20"/>
  <c r="F81" i="20" s="1"/>
  <c r="E82" i="20"/>
  <c r="E80" i="20"/>
  <c r="E78" i="20"/>
  <c r="E81" i="20" s="1"/>
  <c r="C42" i="10"/>
  <c r="T18" i="10" s="1"/>
  <c r="T71" i="10" s="1"/>
  <c r="T72" i="10" s="1"/>
  <c r="AD61" i="10"/>
  <c r="F33" i="10"/>
  <c r="F41" i="10" s="1"/>
  <c r="R18" i="10" s="1"/>
  <c r="R71" i="10" s="1"/>
  <c r="R72" i="10" s="1"/>
  <c r="D78" i="20"/>
  <c r="D81" i="20" s="1"/>
  <c r="D82" i="20"/>
  <c r="D80" i="20"/>
  <c r="C82" i="20"/>
  <c r="C79" i="20"/>
  <c r="C78" i="20"/>
  <c r="C81" i="20" s="1"/>
  <c r="D41" i="10"/>
  <c r="N18" i="10" s="1"/>
  <c r="N71" i="10" s="1"/>
  <c r="N72" i="10" s="1"/>
  <c r="C41" i="10"/>
  <c r="L18" i="10" s="1"/>
  <c r="L71" i="10" s="1"/>
  <c r="L72" i="10" s="1"/>
  <c r="C40" i="10"/>
  <c r="D18" i="10" s="1"/>
  <c r="D71" i="10" s="1"/>
  <c r="D72" i="10" s="1"/>
  <c r="D40" i="10"/>
  <c r="E18" i="10" s="1"/>
  <c r="E71" i="10" s="1"/>
  <c r="E72" i="10" s="1"/>
  <c r="AA14" i="10"/>
  <c r="AA10" i="10"/>
  <c r="AA12" i="10"/>
  <c r="E49" i="10"/>
  <c r="E51" i="10" s="1"/>
  <c r="E50" i="10"/>
  <c r="E52" i="10" s="1"/>
  <c r="O18" i="10" s="1"/>
  <c r="O71" i="10" s="1"/>
  <c r="O72" i="10" s="1"/>
  <c r="AA17" i="10"/>
  <c r="AA8" i="10"/>
  <c r="AB16" i="10"/>
  <c r="D50" i="10" l="1"/>
  <c r="D52" i="10" s="1"/>
  <c r="M18" i="10" s="1"/>
  <c r="M71" i="10" s="1"/>
  <c r="M72" i="10" s="1"/>
  <c r="H18" i="10"/>
  <c r="H71" i="10" s="1"/>
  <c r="H72" i="10" s="1"/>
  <c r="AC60" i="10"/>
  <c r="AD60" i="10" s="1"/>
  <c r="AD70" i="24"/>
  <c r="AC73" i="24"/>
  <c r="AC65" i="10"/>
  <c r="AD65" i="10" s="1"/>
  <c r="I76" i="24"/>
  <c r="AA75" i="24"/>
  <c r="C50" i="10"/>
  <c r="F50" i="10"/>
  <c r="F52" i="10" s="1"/>
  <c r="Q18" i="10" s="1"/>
  <c r="Q71" i="10" s="1"/>
  <c r="Q72" i="10" s="1"/>
  <c r="AC11" i="10"/>
  <c r="F34" i="10"/>
  <c r="AC14" i="10" s="1"/>
  <c r="F40" i="10"/>
  <c r="J18" i="10" s="1"/>
  <c r="J71" i="10" s="1"/>
  <c r="J72" i="10" s="1"/>
  <c r="F42" i="10"/>
  <c r="Z18" i="10" s="1"/>
  <c r="Z71" i="10" s="1"/>
  <c r="Z72" i="10" s="1"/>
  <c r="E53" i="10"/>
  <c r="W18" i="10" s="1"/>
  <c r="W71" i="10" s="1"/>
  <c r="W72" i="10" s="1"/>
  <c r="D53" i="10"/>
  <c r="U18" i="10" s="1"/>
  <c r="U71" i="10" s="1"/>
  <c r="U72" i="10" s="1"/>
  <c r="C53" i="10"/>
  <c r="S18" i="10" s="1"/>
  <c r="S71" i="10" s="1"/>
  <c r="S72" i="10" s="1"/>
  <c r="F18" i="10"/>
  <c r="F71" i="10" s="1"/>
  <c r="F72" i="10" s="1"/>
  <c r="C18" i="10"/>
  <c r="C71" i="10" s="1"/>
  <c r="C72" i="10" s="1"/>
  <c r="AC64" i="10" l="1"/>
  <c r="AD64" i="10" s="1"/>
  <c r="AC13" i="10"/>
  <c r="AC66" i="10" s="1"/>
  <c r="AC67" i="10"/>
  <c r="AD67" i="10" s="1"/>
  <c r="C52" i="10"/>
  <c r="K18" i="10" s="1"/>
  <c r="K71" i="10" s="1"/>
  <c r="K72" i="10" s="1"/>
  <c r="I18" i="10"/>
  <c r="I71" i="10" s="1"/>
  <c r="F53" i="10"/>
  <c r="Y18" i="10" s="1"/>
  <c r="Y71" i="10" s="1"/>
  <c r="Y72" i="10" s="1"/>
  <c r="AC16" i="10" l="1"/>
  <c r="AA18" i="10"/>
  <c r="I72" i="10"/>
  <c r="AA71" i="10"/>
  <c r="AD66" i="10"/>
  <c r="AC69" i="10"/>
</calcChain>
</file>

<file path=xl/sharedStrings.xml><?xml version="1.0" encoding="utf-8"?>
<sst xmlns="http://schemas.openxmlformats.org/spreadsheetml/2006/main" count="1451" uniqueCount="183">
  <si>
    <t>ROW</t>
  </si>
  <si>
    <t>Intermediate inputs</t>
  </si>
  <si>
    <t>Value added</t>
  </si>
  <si>
    <t>Investment</t>
  </si>
  <si>
    <t>GDP</t>
  </si>
  <si>
    <t>Consumption</t>
  </si>
  <si>
    <t>GO</t>
  </si>
  <si>
    <t>US</t>
  </si>
  <si>
    <t>ADV</t>
  </si>
  <si>
    <t>EME</t>
  </si>
  <si>
    <t>Source country</t>
  </si>
  <si>
    <t>Destination country</t>
  </si>
  <si>
    <t>Column sums</t>
  </si>
  <si>
    <t>Row sums</t>
  </si>
  <si>
    <t>US-Domestic</t>
  </si>
  <si>
    <t>ADV-Domestic</t>
  </si>
  <si>
    <t>EME-Domestic</t>
  </si>
  <si>
    <t>ROW-Domestic</t>
  </si>
  <si>
    <t>US-Export</t>
  </si>
  <si>
    <t>ADV-Export</t>
  </si>
  <si>
    <t>EME-Export</t>
  </si>
  <si>
    <t>ROW-Export</t>
  </si>
  <si>
    <t>US-Import</t>
  </si>
  <si>
    <t>ADV-Import</t>
  </si>
  <si>
    <t>EME-Import</t>
  </si>
  <si>
    <t>ROW-Import</t>
  </si>
  <si>
    <t>Intermediate Inputs</t>
  </si>
  <si>
    <t>Destination country and "sector"</t>
  </si>
  <si>
    <t>Initial col sums</t>
  </si>
  <si>
    <t>Initial row sums</t>
  </si>
  <si>
    <t>Exports</t>
  </si>
  <si>
    <t>Imports</t>
  </si>
  <si>
    <t>Net exports</t>
  </si>
  <si>
    <t>Intermediate exports</t>
  </si>
  <si>
    <t>Intermediate imports</t>
  </si>
  <si>
    <t>Net intermediate exports</t>
  </si>
  <si>
    <t>Final exports</t>
  </si>
  <si>
    <t>Final imports</t>
  </si>
  <si>
    <t>Net final exports</t>
  </si>
  <si>
    <t>Desired row sums</t>
  </si>
  <si>
    <t>Desired col sums</t>
  </si>
  <si>
    <t>Benchmark input-output matrix for 1995</t>
  </si>
  <si>
    <t>Benchmark input-output matrix for 2011</t>
  </si>
  <si>
    <t>Source country and "sector"</t>
  </si>
  <si>
    <t>GDP and gross output</t>
  </si>
  <si>
    <t>Total exports/imports</t>
  </si>
  <si>
    <t>Exports/GDP</t>
  </si>
  <si>
    <t>Imports/GDP</t>
  </si>
  <si>
    <t>Net exports/GDP</t>
  </si>
  <si>
    <t>Intermediate exports/imports</t>
  </si>
  <si>
    <t>Final exports/imports</t>
  </si>
  <si>
    <t>Intermediate exports/GDP</t>
  </si>
  <si>
    <t>Intermediate imports/GDP</t>
  </si>
  <si>
    <t>Net intermediate exports/GDP</t>
  </si>
  <si>
    <t>Final exports/GDP</t>
  </si>
  <si>
    <t>Final imports/GDP</t>
  </si>
  <si>
    <t>Net Final exports/GDP</t>
  </si>
  <si>
    <t>Consumption exports/imports</t>
  </si>
  <si>
    <t>Consumption exports</t>
  </si>
  <si>
    <t>Consumption imports</t>
  </si>
  <si>
    <t>Net consumption exports</t>
  </si>
  <si>
    <t>Consumption exports/GDP</t>
  </si>
  <si>
    <t>Consumption imports/GDP</t>
  </si>
  <si>
    <t>Net Consumption exports/GDP</t>
  </si>
  <si>
    <t>Investment exports/imports</t>
  </si>
  <si>
    <t>Investment exports</t>
  </si>
  <si>
    <t>Investment imports</t>
  </si>
  <si>
    <t>Net Investment exports</t>
  </si>
  <si>
    <t>Investment exports/GDP</t>
  </si>
  <si>
    <t>Investment imports/GDP</t>
  </si>
  <si>
    <t>Net Investment exports/GDP</t>
  </si>
  <si>
    <t>(Ex+Im)/(2GDP)</t>
  </si>
  <si>
    <t>2011 GDP</t>
  </si>
  <si>
    <t>Difference between actual and implied absorption</t>
  </si>
  <si>
    <t>Final col sums</t>
  </si>
  <si>
    <t>Final row sums</t>
  </si>
  <si>
    <t>Diff</t>
  </si>
  <si>
    <t>Initial column sums</t>
  </si>
  <si>
    <t>Desired column sums</t>
  </si>
  <si>
    <t>Final column sums</t>
  </si>
  <si>
    <t>Input: Aggregated WIOD data (unmodified)</t>
  </si>
  <si>
    <t>Output: Balanced matrix</t>
  </si>
  <si>
    <t>Input: balanced 2011 IO matrix disaggregated by source</t>
  </si>
  <si>
    <t>Intermediate calculations (to get desired row and col sums)</t>
  </si>
  <si>
    <t>Output: balanced matrix</t>
  </si>
  <si>
    <t>Aggregated back up</t>
  </si>
  <si>
    <t>Desired int/cons/inv imports: Split up proportionally</t>
  </si>
  <si>
    <t>Desired total cons and inv: Make sure absorption consistent with modified national accounts and world market clearing, then split proportionally</t>
  </si>
  <si>
    <t>1995 GDP</t>
  </si>
  <si>
    <t>1995 GO</t>
  </si>
  <si>
    <t>US-VA</t>
  </si>
  <si>
    <t>ADV-VA</t>
  </si>
  <si>
    <t>EME-VA</t>
  </si>
  <si>
    <t>ROW-VA</t>
  </si>
  <si>
    <t>NX/world GDP</t>
  </si>
  <si>
    <t>Desired GO: adjust by difference between 2011 actual imported intermediates and desired imported intermediates</t>
  </si>
  <si>
    <t>difference between desired and actual</t>
  </si>
  <si>
    <t>Desired imported cons and inv: match 2011 imported cons/final imports</t>
  </si>
  <si>
    <t>Imported intermediates/total</t>
  </si>
  <si>
    <t>Imported final/total final</t>
  </si>
  <si>
    <t>Desired final trade: back out from above</t>
  </si>
  <si>
    <t>Desired domestic cons and inv</t>
  </si>
  <si>
    <t>Desired GDP: Match 2011 relative sizes</t>
  </si>
  <si>
    <t>Counterfactual GDP</t>
  </si>
  <si>
    <t>Counterfactual GO</t>
  </si>
  <si>
    <t>1995 C/GDP</t>
  </si>
  <si>
    <t>1995 I/GDP</t>
  </si>
  <si>
    <t>1995 C/D</t>
  </si>
  <si>
    <t>1995 I/D</t>
  </si>
  <si>
    <t>Counterfactual C</t>
  </si>
  <si>
    <t>Counterfactual I</t>
  </si>
  <si>
    <t>Counterfactual ROW absorption from mkt clearing</t>
  </si>
  <si>
    <t>Input: benchmark 1995 matrix</t>
  </si>
  <si>
    <t>Counterfactual 1: 1995 input-output matrix with 2011 shares of world GDP and gross output</t>
  </si>
  <si>
    <t>Onput: balanced counterfactual matrix</t>
  </si>
  <si>
    <t>Desired GO: Match 1995 GO/GDP</t>
  </si>
  <si>
    <t>Desired consumption and investment: match composition of 1995 GDP</t>
  </si>
  <si>
    <t>Counterfactual 2: 1995 input-output matrix with 2011 trade openness</t>
  </si>
  <si>
    <t>Counterfactual Ex+Im</t>
  </si>
  <si>
    <t>(Ex+Im)/(GDP)</t>
  </si>
  <si>
    <t>Counterfactual M</t>
  </si>
  <si>
    <t>Counterfactual X</t>
  </si>
  <si>
    <t>Counterfactual NX</t>
  </si>
  <si>
    <t>1995 NX</t>
  </si>
  <si>
    <t>Desired EX and EM separately: Match 1995 NX</t>
  </si>
  <si>
    <t>Adjustment to ensure sum(NX)=0</t>
  </si>
  <si>
    <t>Counterfactual M, round 2</t>
  </si>
  <si>
    <t>Counterfactual X, round 2</t>
  </si>
  <si>
    <t>Counterfactual NX, round 2</t>
  </si>
  <si>
    <t>Desired int/cons/inv imports: Split up total imports according to 1995 weights</t>
  </si>
  <si>
    <t>1995 intermediate imports/total</t>
  </si>
  <si>
    <t>1995 consumption imports/total</t>
  </si>
  <si>
    <t>1995 investment imports/total</t>
  </si>
  <si>
    <t>Counterfactual intermediate imports</t>
  </si>
  <si>
    <t>Counterfactual consumption imports</t>
  </si>
  <si>
    <t>Counterfactual investment imports</t>
  </si>
  <si>
    <t>1995 total consumption</t>
  </si>
  <si>
    <t>1995 total investment</t>
  </si>
  <si>
    <t>Difference between observed and counterfactual absorption</t>
  </si>
  <si>
    <t>Counterfactual total consumption</t>
  </si>
  <si>
    <t>Counterfactual total investment</t>
  </si>
  <si>
    <t>Counterfactual domestic consumption</t>
  </si>
  <si>
    <t>Counterfactual domestic investment</t>
  </si>
  <si>
    <t>2011 (Ex+Im)/(world GDP)</t>
  </si>
  <si>
    <t>Desired EX+IM: Match 2011 trade world GDP</t>
  </si>
  <si>
    <t>Counterfactual 4: 1995 input-output matrix with 2011 trade balance/world GDP</t>
  </si>
  <si>
    <t>Input: balanced 1995 IO matrix disaggregated by source</t>
  </si>
  <si>
    <t>2011 NX/world GDP</t>
  </si>
  <si>
    <t>Desired trade balances: Match 2011 NX/world GDP</t>
  </si>
  <si>
    <t>Desired total exports/imports: Match 1995 trade intensity</t>
  </si>
  <si>
    <t>1995 (Ex+Im)/GDP</t>
  </si>
  <si>
    <t>1995 Ex+Im</t>
  </si>
  <si>
    <t>Counterfactual Ex</t>
  </si>
  <si>
    <t>Counterfactual Im</t>
  </si>
  <si>
    <t>Counterfactual consumption</t>
  </si>
  <si>
    <t>Counterfactual investment</t>
  </si>
  <si>
    <t>1995 D</t>
  </si>
  <si>
    <t>Counterfactual 3: 1995 input-output matrix with 2011 intermediate trade share</t>
  </si>
  <si>
    <t>Intermediate trade/total</t>
  </si>
  <si>
    <t>Counterfactual intermediate Ex+Im</t>
  </si>
  <si>
    <t>2011 intermediate Ex+Im/total</t>
  </si>
  <si>
    <t>Desired gross intermediate trade: Match 1995 gross trade and 2011 intermediate share</t>
  </si>
  <si>
    <t>Counterfactual final Ex+Im</t>
  </si>
  <si>
    <t>1995 intermediate trade balance</t>
  </si>
  <si>
    <t>Desired intermediate and final trade balances: match 1995 X/M</t>
  </si>
  <si>
    <t>1995 final trade balance</t>
  </si>
  <si>
    <t>Counterfactual final Ex</t>
  </si>
  <si>
    <t>Counterfactual final Im</t>
  </si>
  <si>
    <t>Counterfactual intermediate Im</t>
  </si>
  <si>
    <t>Counterfactual intemediate Ex</t>
  </si>
  <si>
    <t>1995 intermediate Im</t>
  </si>
  <si>
    <t>1995 actual GO</t>
  </si>
  <si>
    <t>1995 imported cons/final imports</t>
  </si>
  <si>
    <t>1995 imported inv/final imports</t>
  </si>
  <si>
    <t>Counterfactual imported cons</t>
  </si>
  <si>
    <t>Counterfactual imported inv</t>
  </si>
  <si>
    <t>1995 consumption</t>
  </si>
  <si>
    <t>1995 investment</t>
  </si>
  <si>
    <t>Balanced-trade version of 1995 input-output matrix</t>
  </si>
  <si>
    <t>Desired consumption and investment: match 1995 investment rate</t>
  </si>
  <si>
    <t>Balanced-trade version of 2011 input-output matrix</t>
  </si>
  <si>
    <t>Balanced-trade counterfactual 1: 1995 input-output matrix with 2011 shares of world GDP and gross output</t>
  </si>
  <si>
    <t>Balanced-trade counterfactual 2: 1995 input-output matrix with 2011 trade openness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</si>
</sst>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(* #,##0.00_);_(* \(#,##0.00\);_(* &quot;-&quot;??_);_(@_)"/>
    <numFmt numFmtId="164" formatCode="_-* #,##0.00_-;\-* #,##0.00_-;_-* &quot;-&quot;??_-;_-@_-"/>
    <numFmt numFmtId="165" formatCode="0.00000"/>
    <numFmt numFmtId="166" formatCode="_-* #,##0.000_-;\-* #,##0.000_-;_-* &quot;-&quot;??_-;_-@_-"/>
    <numFmt numFmtId="167" formatCode="_-* #,##0.000_-;\-* #,##0.000_-;_-* &quot;-&quot;???_-;_-@_-"/>
    <numFmt numFmtId="168" formatCode="#,##0.000000"/>
    <numFmt numFmtId="169" formatCode="_-* #,##0.00000_-;\-* #,##0.00000_-;_-* &quot;-&quot;??_-;_-@_-"/>
    <numFmt numFmtId="170" formatCode="0.0000000000"/>
    <numFmt numFmtId="171" formatCode="0.00000000"/>
    <numFmt numFmtId="172" formatCode="0.000000000"/>
    <numFmt numFmtId="173" formatCode="0.000000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" fillId="0" borderId="0"/>
    <xf numFmtId="0" fontId="1" fillId="0" borderId="0"/>
    <xf numFmtId="164" fontId="1" fillId="0" borderId="0" applyFont="0" applyFill="0" applyBorder="0" applyAlignment="0" applyProtection="0"/>
  </cellStyleXfs>
  <cellXfs count="162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Border="1"/>
    <xf numFmtId="0" fontId="2" fillId="0" borderId="0" xfId="0" applyFont="1"/>
    <xf numFmtId="0" fontId="0" fillId="0" borderId="0" xfId="0" applyAlignment="1">
      <alignment horizontal="center"/>
    </xf>
    <xf numFmtId="4" fontId="0" fillId="0" borderId="0" xfId="0" applyNumberFormat="1"/>
    <xf numFmtId="0" fontId="5" fillId="0" borderId="0" xfId="0" applyFont="1"/>
    <xf numFmtId="0" fontId="2" fillId="0" borderId="0" xfId="0" applyFont="1" applyBorder="1"/>
    <xf numFmtId="0" fontId="2" fillId="0" borderId="0" xfId="0" applyFont="1" applyBorder="1" applyAlignment="1">
      <alignment wrapText="1"/>
    </xf>
    <xf numFmtId="0" fontId="2" fillId="0" borderId="0" xfId="0" applyFont="1" applyFill="1" applyBorder="1"/>
    <xf numFmtId="0" fontId="4" fillId="0" borderId="0" xfId="0" applyFont="1" applyAlignment="1">
      <alignment horizontal="center" wrapText="1"/>
    </xf>
    <xf numFmtId="11" fontId="0" fillId="0" borderId="0" xfId="0" applyNumberFormat="1"/>
    <xf numFmtId="0" fontId="2" fillId="0" borderId="0" xfId="0" applyFont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0" fillId="0" borderId="8" xfId="0" applyBorder="1"/>
    <xf numFmtId="0" fontId="0" fillId="0" borderId="3" xfId="0" applyBorder="1"/>
    <xf numFmtId="0" fontId="0" fillId="0" borderId="5" xfId="0" applyBorder="1"/>
    <xf numFmtId="0" fontId="2" fillId="0" borderId="0" xfId="0" applyFont="1" applyBorder="1" applyAlignment="1">
      <alignment horizontal="left"/>
    </xf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2" fontId="0" fillId="0" borderId="2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/>
    </xf>
    <xf numFmtId="2" fontId="0" fillId="0" borderId="0" xfId="0" applyNumberFormat="1" applyFont="1" applyFill="1" applyBorder="1" applyAlignment="1">
      <alignment horizontal="right"/>
    </xf>
    <xf numFmtId="2" fontId="0" fillId="0" borderId="9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8" xfId="0" applyNumberFormat="1" applyFont="1" applyBorder="1" applyAlignment="1">
      <alignment horizontal="right"/>
    </xf>
    <xf numFmtId="2" fontId="0" fillId="0" borderId="3" xfId="0" applyNumberFormat="1" applyFont="1" applyBorder="1" applyAlignment="1">
      <alignment horizontal="right"/>
    </xf>
    <xf numFmtId="2" fontId="0" fillId="0" borderId="3" xfId="0" applyNumberFormat="1" applyBorder="1" applyAlignment="1">
      <alignment horizontal="right"/>
    </xf>
    <xf numFmtId="2" fontId="0" fillId="0" borderId="14" xfId="0" applyNumberFormat="1" applyBorder="1" applyAlignment="1">
      <alignment horizontal="right"/>
    </xf>
    <xf numFmtId="2" fontId="0" fillId="0" borderId="0" xfId="0" applyNumberFormat="1" applyFont="1" applyBorder="1" applyAlignment="1">
      <alignment horizontal="right" wrapText="1"/>
    </xf>
    <xf numFmtId="2" fontId="0" fillId="0" borderId="9" xfId="0" applyNumberFormat="1" applyFont="1" applyBorder="1" applyAlignment="1">
      <alignment horizontal="right" wrapText="1"/>
    </xf>
    <xf numFmtId="2" fontId="0" fillId="0" borderId="9" xfId="0" applyNumberFormat="1" applyFont="1" applyBorder="1" applyAlignment="1">
      <alignment horizontal="right"/>
    </xf>
    <xf numFmtId="0" fontId="2" fillId="0" borderId="20" xfId="0" applyFont="1" applyBorder="1"/>
    <xf numFmtId="2" fontId="0" fillId="0" borderId="1" xfId="0" applyNumberFormat="1" applyFont="1" applyBorder="1" applyAlignment="1">
      <alignment horizontal="right"/>
    </xf>
    <xf numFmtId="2" fontId="0" fillId="0" borderId="1" xfId="0" applyNumberFormat="1" applyFont="1" applyBorder="1" applyAlignment="1">
      <alignment horizontal="right" wrapText="1"/>
    </xf>
    <xf numFmtId="2" fontId="0" fillId="0" borderId="5" xfId="0" applyNumberFormat="1" applyFont="1" applyBorder="1" applyAlignment="1">
      <alignment horizontal="right"/>
    </xf>
    <xf numFmtId="0" fontId="4" fillId="0" borderId="0" xfId="0" applyFont="1"/>
    <xf numFmtId="0" fontId="2" fillId="0" borderId="0" xfId="0" applyFont="1" applyBorder="1" applyAlignment="1"/>
    <xf numFmtId="0" fontId="4" fillId="0" borderId="0" xfId="0" applyFont="1" applyBorder="1" applyAlignment="1"/>
    <xf numFmtId="0" fontId="0" fillId="0" borderId="0" xfId="0" applyFont="1" applyBorder="1" applyAlignment="1">
      <alignment horizontal="right"/>
    </xf>
    <xf numFmtId="2" fontId="0" fillId="0" borderId="2" xfId="0" applyNumberFormat="1" applyBorder="1"/>
    <xf numFmtId="2" fontId="0" fillId="0" borderId="8" xfId="0" applyNumberFormat="1" applyBorder="1"/>
    <xf numFmtId="2" fontId="0" fillId="0" borderId="0" xfId="0" applyNumberFormat="1" applyBorder="1"/>
    <xf numFmtId="2" fontId="0" fillId="0" borderId="3" xfId="0" applyNumberFormat="1" applyBorder="1"/>
    <xf numFmtId="2" fontId="0" fillId="0" borderId="9" xfId="0" applyNumberFormat="1" applyBorder="1"/>
    <xf numFmtId="2" fontId="0" fillId="0" borderId="14" xfId="0" applyNumberFormat="1" applyBorder="1"/>
    <xf numFmtId="2" fontId="0" fillId="0" borderId="1" xfId="0" applyNumberFormat="1" applyBorder="1"/>
    <xf numFmtId="2" fontId="0" fillId="0" borderId="5" xfId="0" applyNumberFormat="1" applyBorder="1"/>
    <xf numFmtId="0" fontId="0" fillId="0" borderId="22" xfId="0" applyBorder="1"/>
    <xf numFmtId="0" fontId="0" fillId="0" borderId="23" xfId="0" applyBorder="1"/>
    <xf numFmtId="165" fontId="0" fillId="0" borderId="0" xfId="0" applyNumberFormat="1" applyBorder="1"/>
    <xf numFmtId="0" fontId="2" fillId="0" borderId="2" xfId="0" applyFont="1" applyBorder="1"/>
    <xf numFmtId="0" fontId="2" fillId="0" borderId="3" xfId="0" applyFont="1" applyFill="1" applyBorder="1"/>
    <xf numFmtId="0" fontId="2" fillId="0" borderId="21" xfId="0" applyFont="1" applyBorder="1"/>
    <xf numFmtId="2" fontId="2" fillId="0" borderId="0" xfId="0" applyNumberFormat="1" applyFont="1" applyBorder="1"/>
    <xf numFmtId="164" fontId="0" fillId="0" borderId="2" xfId="3" applyFont="1" applyBorder="1"/>
    <xf numFmtId="164" fontId="0" fillId="0" borderId="0" xfId="3" applyFont="1" applyBorder="1"/>
    <xf numFmtId="164" fontId="0" fillId="0" borderId="9" xfId="3" applyFont="1" applyBorder="1"/>
    <xf numFmtId="164" fontId="0" fillId="0" borderId="1" xfId="3" applyFont="1" applyBorder="1"/>
    <xf numFmtId="164" fontId="0" fillId="0" borderId="8" xfId="3" applyFont="1" applyBorder="1"/>
    <xf numFmtId="164" fontId="0" fillId="0" borderId="3" xfId="3" applyFont="1" applyBorder="1"/>
    <xf numFmtId="164" fontId="0" fillId="0" borderId="14" xfId="3" applyFont="1" applyBorder="1"/>
    <xf numFmtId="164" fontId="0" fillId="0" borderId="5" xfId="3" applyFont="1" applyBorder="1"/>
    <xf numFmtId="164" fontId="0" fillId="0" borderId="0" xfId="3" applyFont="1"/>
    <xf numFmtId="164" fontId="0" fillId="0" borderId="22" xfId="3" applyFont="1" applyBorder="1"/>
    <xf numFmtId="164" fontId="2" fillId="0" borderId="0" xfId="3" applyFont="1" applyBorder="1"/>
    <xf numFmtId="164" fontId="2" fillId="0" borderId="10" xfId="3" applyFont="1" applyBorder="1"/>
    <xf numFmtId="164" fontId="2" fillId="0" borderId="11" xfId="3" applyFont="1" applyBorder="1"/>
    <xf numFmtId="164" fontId="2" fillId="0" borderId="12" xfId="3" applyFont="1" applyBorder="1"/>
    <xf numFmtId="164" fontId="2" fillId="0" borderId="13" xfId="3" applyFont="1" applyBorder="1"/>
    <xf numFmtId="164" fontId="0" fillId="0" borderId="0" xfId="3" applyNumberFormat="1" applyFont="1"/>
    <xf numFmtId="4" fontId="0" fillId="0" borderId="1" xfId="0" applyNumberFormat="1" applyBorder="1"/>
    <xf numFmtId="4" fontId="2" fillId="0" borderId="0" xfId="0" applyNumberFormat="1" applyFont="1" applyBorder="1" applyAlignment="1">
      <alignment horizontal="left"/>
    </xf>
    <xf numFmtId="4" fontId="0" fillId="0" borderId="0" xfId="0" applyNumberFormat="1" applyBorder="1"/>
    <xf numFmtId="4" fontId="2" fillId="0" borderId="0" xfId="0" applyNumberFormat="1" applyFont="1" applyBorder="1"/>
    <xf numFmtId="0" fontId="2" fillId="0" borderId="8" xfId="0" applyFont="1" applyBorder="1"/>
    <xf numFmtId="4" fontId="0" fillId="0" borderId="3" xfId="0" applyNumberFormat="1" applyBorder="1"/>
    <xf numFmtId="164" fontId="0" fillId="0" borderId="2" xfId="3" applyFont="1" applyBorder="1" applyAlignment="1">
      <alignment horizontal="right"/>
    </xf>
    <xf numFmtId="164" fontId="0" fillId="0" borderId="0" xfId="3" applyFont="1" applyBorder="1" applyAlignment="1">
      <alignment horizontal="right"/>
    </xf>
    <xf numFmtId="164" fontId="0" fillId="0" borderId="0" xfId="3" applyFont="1" applyFill="1" applyBorder="1" applyAlignment="1">
      <alignment horizontal="right"/>
    </xf>
    <xf numFmtId="164" fontId="0" fillId="0" borderId="9" xfId="3" applyFont="1" applyBorder="1" applyAlignment="1">
      <alignment horizontal="right"/>
    </xf>
    <xf numFmtId="164" fontId="0" fillId="0" borderId="1" xfId="3" applyFont="1" applyBorder="1" applyAlignment="1">
      <alignment horizontal="right"/>
    </xf>
    <xf numFmtId="164" fontId="0" fillId="0" borderId="0" xfId="3" applyFont="1" applyBorder="1" applyAlignment="1">
      <alignment horizontal="right" wrapText="1"/>
    </xf>
    <xf numFmtId="164" fontId="0" fillId="0" borderId="9" xfId="3" applyFont="1" applyBorder="1" applyAlignment="1">
      <alignment horizontal="right" wrapText="1"/>
    </xf>
    <xf numFmtId="164" fontId="0" fillId="0" borderId="1" xfId="3" applyFont="1" applyBorder="1" applyAlignment="1">
      <alignment horizontal="right" wrapText="1"/>
    </xf>
    <xf numFmtId="164" fontId="0" fillId="0" borderId="8" xfId="3" applyFont="1" applyBorder="1" applyAlignment="1">
      <alignment horizontal="right"/>
    </xf>
    <xf numFmtId="164" fontId="0" fillId="0" borderId="3" xfId="3" applyFont="1" applyBorder="1" applyAlignment="1">
      <alignment horizontal="right"/>
    </xf>
    <xf numFmtId="164" fontId="0" fillId="0" borderId="14" xfId="3" applyFont="1" applyBorder="1" applyAlignment="1">
      <alignment horizontal="right"/>
    </xf>
    <xf numFmtId="164" fontId="0" fillId="0" borderId="5" xfId="3" applyFont="1" applyBorder="1" applyAlignment="1">
      <alignment horizontal="right"/>
    </xf>
    <xf numFmtId="4" fontId="0" fillId="0" borderId="22" xfId="0" applyNumberFormat="1" applyBorder="1"/>
    <xf numFmtId="4" fontId="0" fillId="0" borderId="23" xfId="0" applyNumberFormat="1" applyBorder="1"/>
    <xf numFmtId="4" fontId="4" fillId="0" borderId="0" xfId="0" applyNumberFormat="1" applyFont="1" applyBorder="1"/>
    <xf numFmtId="0" fontId="2" fillId="0" borderId="2" xfId="0" applyFont="1" applyFill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4" fontId="2" fillId="0" borderId="0" xfId="0" applyNumberFormat="1" applyFont="1" applyBorder="1" applyAlignment="1"/>
    <xf numFmtId="4" fontId="4" fillId="0" borderId="0" xfId="0" applyNumberFormat="1" applyFont="1" applyBorder="1" applyAlignment="1"/>
    <xf numFmtId="0" fontId="2" fillId="0" borderId="8" xfId="0" applyFont="1" applyFill="1" applyBorder="1"/>
    <xf numFmtId="11" fontId="2" fillId="0" borderId="3" xfId="0" applyNumberFormat="1" applyFont="1" applyBorder="1" applyAlignment="1"/>
    <xf numFmtId="11" fontId="0" fillId="0" borderId="3" xfId="0" applyNumberFormat="1" applyBorder="1"/>
    <xf numFmtId="11" fontId="0" fillId="0" borderId="5" xfId="0" applyNumberFormat="1" applyBorder="1"/>
    <xf numFmtId="0" fontId="2" fillId="0" borderId="1" xfId="0" applyFont="1" applyFill="1" applyBorder="1"/>
    <xf numFmtId="164" fontId="0" fillId="0" borderId="0" xfId="0" applyNumberFormat="1"/>
    <xf numFmtId="164" fontId="0" fillId="0" borderId="0" xfId="0" applyNumberFormat="1" applyBorder="1"/>
    <xf numFmtId="164" fontId="0" fillId="0" borderId="1" xfId="0" applyNumberFormat="1" applyBorder="1"/>
    <xf numFmtId="166" fontId="0" fillId="0" borderId="0" xfId="0" applyNumberFormat="1" applyBorder="1"/>
    <xf numFmtId="164" fontId="2" fillId="0" borderId="0" xfId="0" applyNumberFormat="1" applyFont="1" applyBorder="1"/>
    <xf numFmtId="166" fontId="2" fillId="0" borderId="0" xfId="0" applyNumberFormat="1" applyFont="1" applyBorder="1"/>
    <xf numFmtId="167" fontId="0" fillId="0" borderId="3" xfId="0" applyNumberFormat="1" applyBorder="1"/>
    <xf numFmtId="167" fontId="0" fillId="0" borderId="0" xfId="0" applyNumberFormat="1" applyBorder="1"/>
    <xf numFmtId="2" fontId="0" fillId="0" borderId="0" xfId="0" applyNumberFormat="1"/>
    <xf numFmtId="164" fontId="0" fillId="0" borderId="0" xfId="0" applyNumberFormat="1" applyBorder="1" applyAlignment="1">
      <alignment horizontal="center"/>
    </xf>
    <xf numFmtId="0" fontId="4" fillId="0" borderId="0" xfId="0" applyFont="1" applyBorder="1"/>
    <xf numFmtId="164" fontId="0" fillId="0" borderId="15" xfId="3" applyFont="1" applyBorder="1"/>
    <xf numFmtId="11" fontId="4" fillId="0" borderId="3" xfId="0" applyNumberFormat="1" applyFont="1" applyBorder="1" applyAlignment="1"/>
    <xf numFmtId="11" fontId="4" fillId="0" borderId="0" xfId="0" applyNumberFormat="1" applyFont="1" applyBorder="1" applyAlignment="1"/>
    <xf numFmtId="11" fontId="0" fillId="0" borderId="0" xfId="0" applyNumberFormat="1" applyBorder="1"/>
    <xf numFmtId="164" fontId="2" fillId="0" borderId="2" xfId="3" applyFont="1" applyBorder="1"/>
    <xf numFmtId="164" fontId="2" fillId="0" borderId="9" xfId="3" applyFont="1" applyBorder="1"/>
    <xf numFmtId="164" fontId="2" fillId="0" borderId="1" xfId="3" applyFont="1" applyBorder="1"/>
    <xf numFmtId="164" fontId="0" fillId="0" borderId="21" xfId="3" applyFont="1" applyBorder="1"/>
    <xf numFmtId="164" fontId="0" fillId="0" borderId="23" xfId="3" applyFont="1" applyBorder="1"/>
    <xf numFmtId="164" fontId="0" fillId="0" borderId="24" xfId="3" applyFont="1" applyBorder="1"/>
    <xf numFmtId="11" fontId="0" fillId="0" borderId="0" xfId="3" applyNumberFormat="1" applyFont="1" applyBorder="1"/>
    <xf numFmtId="168" fontId="0" fillId="0" borderId="0" xfId="0" applyNumberFormat="1" applyBorder="1"/>
    <xf numFmtId="169" fontId="0" fillId="0" borderId="0" xfId="3" applyNumberFormat="1" applyFont="1"/>
    <xf numFmtId="170" fontId="0" fillId="0" borderId="0" xfId="0" applyNumberFormat="1"/>
    <xf numFmtId="43" fontId="0" fillId="0" borderId="0" xfId="0" applyNumberFormat="1" applyBorder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4" fontId="0" fillId="0" borderId="0" xfId="0" applyNumberFormat="1" applyFont="1" applyBorder="1"/>
    <xf numFmtId="43" fontId="0" fillId="0" borderId="0" xfId="0" applyNumberFormat="1" applyFont="1" applyBorder="1" applyAlignment="1">
      <alignment horizontal="right"/>
    </xf>
    <xf numFmtId="164" fontId="0" fillId="0" borderId="3" xfId="0" applyNumberFormat="1" applyBorder="1"/>
    <xf numFmtId="164" fontId="2" fillId="0" borderId="3" xfId="3" applyFont="1" applyBorder="1" applyAlignment="1">
      <alignment horizontal="center"/>
    </xf>
    <xf numFmtId="164" fontId="2" fillId="0" borderId="8" xfId="3" applyFont="1" applyBorder="1" applyAlignment="1">
      <alignment horizontal="center"/>
    </xf>
    <xf numFmtId="164" fontId="2" fillId="0" borderId="14" xfId="3" applyFont="1" applyBorder="1" applyAlignment="1">
      <alignment horizontal="center"/>
    </xf>
    <xf numFmtId="164" fontId="2" fillId="0" borderId="15" xfId="3" applyFont="1" applyBorder="1" applyAlignment="1">
      <alignment horizontal="center"/>
    </xf>
    <xf numFmtId="164" fontId="2" fillId="0" borderId="5" xfId="3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0" xfId="0" applyFont="1" applyBorder="1" applyAlignment="1">
      <alignment horizontal="center" wrapText="1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 vertical="center" wrapText="1"/>
    </xf>
  </cellXfs>
  <cellStyles count="4">
    <cellStyle name="Comma" xfId="3" builtinId="3"/>
    <cellStyle name="Normal" xfId="0" builtinId="0"/>
    <cellStyle name="Normal 2" xfId="1"/>
    <cellStyle name="Normal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3"/>
  <sheetViews>
    <sheetView topLeftCell="A43" workbookViewId="0">
      <selection activeCell="C40" sqref="C40"/>
    </sheetView>
  </sheetViews>
  <sheetFormatPr defaultRowHeight="15" x14ac:dyDescent="0.25"/>
  <cols>
    <col min="1" max="1" width="24.5703125" bestFit="1" customWidth="1"/>
    <col min="2" max="2" width="29" bestFit="1" customWidth="1"/>
    <col min="3" max="14" width="14.7109375" customWidth="1"/>
    <col min="15" max="15" width="15.28515625" bestFit="1" customWidth="1"/>
    <col min="16" max="16" width="15.140625" bestFit="1" customWidth="1"/>
    <col min="17" max="17" width="16.85546875" bestFit="1" customWidth="1"/>
  </cols>
  <sheetData>
    <row r="1" spans="1:21" ht="18.75" x14ac:dyDescent="0.3">
      <c r="A1" s="6" t="s">
        <v>41</v>
      </c>
    </row>
    <row r="2" spans="1:21" ht="18.75" x14ac:dyDescent="0.3">
      <c r="A2" s="6"/>
    </row>
    <row r="3" spans="1:21" x14ac:dyDescent="0.25">
      <c r="A3" s="59" t="s">
        <v>80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5"/>
    </row>
    <row r="4" spans="1:21" x14ac:dyDescent="0.25">
      <c r="A4" s="14"/>
      <c r="B4" s="2"/>
      <c r="C4" s="2">
        <f>SUM(C9:C11)/SUM(C8:C11)</f>
        <v>7.6439949561191212E-2</v>
      </c>
      <c r="D4" s="2">
        <f>SUM(D8,D10:D11)/SUM(D8:D11)</f>
        <v>5.6307377357070684E-2</v>
      </c>
      <c r="E4" s="2">
        <f>SUM(E8:E9,E11)/SUM(E8:E11)</f>
        <v>0.10929012152021969</v>
      </c>
      <c r="F4" s="2">
        <f>SUM(F8:F10)/SUM(F8:F11)</f>
        <v>0.24248875759403679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3"/>
    </row>
    <row r="5" spans="1:21" x14ac:dyDescent="0.25">
      <c r="A5" s="14"/>
      <c r="B5" s="2"/>
      <c r="C5" s="152" t="s">
        <v>11</v>
      </c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2"/>
      <c r="P5" s="7" t="s">
        <v>29</v>
      </c>
      <c r="Q5" s="7" t="s">
        <v>39</v>
      </c>
      <c r="R5" s="13"/>
    </row>
    <row r="6" spans="1:21" x14ac:dyDescent="0.25">
      <c r="A6" s="14"/>
      <c r="B6" s="2"/>
      <c r="C6" s="151" t="s">
        <v>1</v>
      </c>
      <c r="D6" s="152"/>
      <c r="E6" s="152"/>
      <c r="F6" s="153"/>
      <c r="G6" s="152" t="s">
        <v>5</v>
      </c>
      <c r="H6" s="152"/>
      <c r="I6" s="152"/>
      <c r="J6" s="153"/>
      <c r="K6" s="154" t="s">
        <v>3</v>
      </c>
      <c r="L6" s="152"/>
      <c r="M6" s="152"/>
      <c r="N6" s="155"/>
      <c r="O6" s="2"/>
      <c r="P6" s="2"/>
      <c r="Q6" s="2"/>
      <c r="R6" s="13"/>
    </row>
    <row r="7" spans="1:21" ht="15.75" thickBot="1" x14ac:dyDescent="0.3">
      <c r="A7" s="14"/>
      <c r="B7" s="2"/>
      <c r="C7" s="15" t="s">
        <v>7</v>
      </c>
      <c r="D7" s="16" t="s">
        <v>8</v>
      </c>
      <c r="E7" s="16" t="s">
        <v>9</v>
      </c>
      <c r="F7" s="17" t="s">
        <v>0</v>
      </c>
      <c r="G7" s="16" t="s">
        <v>7</v>
      </c>
      <c r="H7" s="16" t="s">
        <v>8</v>
      </c>
      <c r="I7" s="16" t="s">
        <v>9</v>
      </c>
      <c r="J7" s="17" t="s">
        <v>0</v>
      </c>
      <c r="K7" s="16" t="s">
        <v>7</v>
      </c>
      <c r="L7" s="16" t="s">
        <v>8</v>
      </c>
      <c r="M7" s="16" t="s">
        <v>9</v>
      </c>
      <c r="N7" s="18" t="s">
        <v>0</v>
      </c>
      <c r="O7" s="2"/>
      <c r="P7" s="2"/>
      <c r="Q7" s="2"/>
      <c r="R7" s="13"/>
    </row>
    <row r="8" spans="1:21" ht="15.75" thickTop="1" x14ac:dyDescent="0.25">
      <c r="A8" s="150" t="s">
        <v>10</v>
      </c>
      <c r="B8" s="7" t="s">
        <v>7</v>
      </c>
      <c r="C8" s="61">
        <v>5564804.2893890003</v>
      </c>
      <c r="D8" s="62">
        <v>228785.36277399899</v>
      </c>
      <c r="E8" s="62">
        <v>94560.991491998095</v>
      </c>
      <c r="F8" s="63">
        <v>197436.20036700001</v>
      </c>
      <c r="G8" s="62">
        <v>5926949.1756189903</v>
      </c>
      <c r="H8" s="62">
        <v>80793.273325999806</v>
      </c>
      <c r="I8" s="62">
        <v>23796.91819</v>
      </c>
      <c r="J8" s="63">
        <v>39382.305558</v>
      </c>
      <c r="K8" s="62">
        <v>1218234.18927399</v>
      </c>
      <c r="L8" s="62">
        <v>51246.055473999899</v>
      </c>
      <c r="M8" s="62">
        <v>23271.258438000001</v>
      </c>
      <c r="N8" s="64">
        <v>25952.957455</v>
      </c>
      <c r="O8" s="62"/>
      <c r="P8" s="62">
        <f>SUM(C8:N8)</f>
        <v>13475212.977355979</v>
      </c>
      <c r="Q8" s="62">
        <f>C15</f>
        <v>13475212.938071484</v>
      </c>
      <c r="R8" s="115">
        <f>Q8-P8</f>
        <v>-3.9284495636820793E-2</v>
      </c>
      <c r="U8" s="113">
        <f>P8-C14</f>
        <v>7.8568991273641586E-2</v>
      </c>
    </row>
    <row r="9" spans="1:21" x14ac:dyDescent="0.25">
      <c r="A9" s="150"/>
      <c r="B9" s="7" t="s">
        <v>8</v>
      </c>
      <c r="C9" s="61">
        <v>261470.687823999</v>
      </c>
      <c r="D9" s="62">
        <v>12275066.777866</v>
      </c>
      <c r="E9" s="62">
        <v>241701.14044696599</v>
      </c>
      <c r="F9" s="63">
        <v>399022.63036900101</v>
      </c>
      <c r="G9" s="62">
        <v>96252.137222999998</v>
      </c>
      <c r="H9" s="62">
        <v>10704035.353256</v>
      </c>
      <c r="I9" s="62">
        <v>71946.139716998907</v>
      </c>
      <c r="J9" s="63">
        <v>110572.75248399899</v>
      </c>
      <c r="K9" s="62">
        <v>109753.56167799899</v>
      </c>
      <c r="L9" s="62">
        <v>3294355.4633630002</v>
      </c>
      <c r="M9" s="62">
        <v>80501.003733999401</v>
      </c>
      <c r="N9" s="64">
        <v>126077.31519799901</v>
      </c>
      <c r="O9" s="62"/>
      <c r="P9" s="62">
        <f t="shared" ref="P9:P12" si="0">SUM(C9:N9)</f>
        <v>27770754.963158961</v>
      </c>
      <c r="Q9" s="62">
        <f>D15</f>
        <v>27770755.032137427</v>
      </c>
      <c r="R9" s="115">
        <f t="shared" ref="R9:R12" si="1">Q9-P9</f>
        <v>6.8978466093540192E-2</v>
      </c>
      <c r="U9" s="113">
        <f>P9-D14</f>
        <v>-0.13795693218708038</v>
      </c>
    </row>
    <row r="10" spans="1:21" x14ac:dyDescent="0.25">
      <c r="A10" s="150"/>
      <c r="B10" s="7" t="s">
        <v>9</v>
      </c>
      <c r="C10" s="61">
        <v>95152.366905999603</v>
      </c>
      <c r="D10" s="62">
        <v>235463.177492994</v>
      </c>
      <c r="E10" s="62">
        <v>3640906.9974729</v>
      </c>
      <c r="F10" s="63">
        <v>107542.974569999</v>
      </c>
      <c r="G10" s="62">
        <v>69612.719608999905</v>
      </c>
      <c r="H10" s="62">
        <v>118632.429509996</v>
      </c>
      <c r="I10" s="62">
        <v>2571912.3455800102</v>
      </c>
      <c r="J10" s="63">
        <v>27544.247432</v>
      </c>
      <c r="K10" s="62">
        <v>30617.29392</v>
      </c>
      <c r="L10" s="62">
        <v>28805.312103000098</v>
      </c>
      <c r="M10" s="62">
        <v>981448.20006800303</v>
      </c>
      <c r="N10" s="64">
        <v>25405.797909999899</v>
      </c>
      <c r="O10" s="62"/>
      <c r="P10" s="62">
        <f t="shared" si="0"/>
        <v>7933043.862573904</v>
      </c>
      <c r="Q10" s="62">
        <f>E15</f>
        <v>7933043.8338463781</v>
      </c>
      <c r="R10" s="115">
        <f t="shared" si="1"/>
        <v>-2.8727525845170021E-2</v>
      </c>
      <c r="U10" s="113">
        <f>P10-E14</f>
        <v>5.7455051690340042E-2</v>
      </c>
    </row>
    <row r="11" spans="1:21" x14ac:dyDescent="0.25">
      <c r="A11" s="150"/>
      <c r="B11" s="7" t="s">
        <v>0</v>
      </c>
      <c r="C11" s="61">
        <v>103957.02232800001</v>
      </c>
      <c r="D11" s="62">
        <v>268168.77503299899</v>
      </c>
      <c r="E11" s="62">
        <v>110477.236076998</v>
      </c>
      <c r="F11" s="63">
        <v>2199233.0179949901</v>
      </c>
      <c r="G11" s="62">
        <v>47489.886217999898</v>
      </c>
      <c r="H11" s="62">
        <v>88682.262659999804</v>
      </c>
      <c r="I11" s="62">
        <v>26264.92668</v>
      </c>
      <c r="J11" s="63">
        <v>2458210.4415219999</v>
      </c>
      <c r="K11" s="62">
        <v>21947.138796999901</v>
      </c>
      <c r="L11" s="62">
        <v>25602.925006000001</v>
      </c>
      <c r="M11" s="62">
        <v>8714.6294859999998</v>
      </c>
      <c r="N11" s="64">
        <v>644548.46681200003</v>
      </c>
      <c r="O11" s="62"/>
      <c r="P11" s="62">
        <f t="shared" si="0"/>
        <v>6003296.7286139876</v>
      </c>
      <c r="Q11" s="62">
        <f>F15</f>
        <v>6003296.7358794836</v>
      </c>
      <c r="R11" s="115">
        <f t="shared" si="1"/>
        <v>7.2654960677027702E-3</v>
      </c>
      <c r="U11" s="113">
        <f>P11-F14</f>
        <v>-1.453099213540554E-2</v>
      </c>
    </row>
    <row r="12" spans="1:21" x14ac:dyDescent="0.25">
      <c r="A12" s="57"/>
      <c r="B12" s="7" t="s">
        <v>2</v>
      </c>
      <c r="C12" s="65">
        <v>7449828.5323399901</v>
      </c>
      <c r="D12" s="66">
        <v>14763271.0079499</v>
      </c>
      <c r="E12" s="66">
        <v>3845397.4396299901</v>
      </c>
      <c r="F12" s="67">
        <v>3100061.9198439899</v>
      </c>
      <c r="G12" s="66">
        <v>0</v>
      </c>
      <c r="H12" s="66">
        <v>0</v>
      </c>
      <c r="I12" s="66">
        <v>0</v>
      </c>
      <c r="J12" s="67">
        <v>0</v>
      </c>
      <c r="K12" s="66">
        <v>0</v>
      </c>
      <c r="L12" s="66">
        <v>0</v>
      </c>
      <c r="M12" s="66">
        <v>0</v>
      </c>
      <c r="N12" s="68">
        <v>0</v>
      </c>
      <c r="O12" s="62"/>
      <c r="P12" s="62">
        <f t="shared" si="0"/>
        <v>29158558.899763871</v>
      </c>
      <c r="Q12" s="62">
        <f>SUM(G14:N14)</f>
        <v>29158558.883299988</v>
      </c>
      <c r="R12" s="115">
        <f t="shared" si="1"/>
        <v>-1.6463883221149445E-2</v>
      </c>
    </row>
    <row r="13" spans="1:21" x14ac:dyDescent="0.25">
      <c r="A13" s="14"/>
      <c r="B13" s="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71">
        <f>SUM(P8:P12)</f>
        <v>84340867.431466699</v>
      </c>
      <c r="Q13" s="117">
        <f>SUM(Q8:Q12)</f>
        <v>84340867.423234761</v>
      </c>
      <c r="R13" s="13"/>
    </row>
    <row r="14" spans="1:21" x14ac:dyDescent="0.25">
      <c r="A14" s="14"/>
      <c r="B14" s="9" t="s">
        <v>77</v>
      </c>
      <c r="C14" s="62">
        <f>SUM(C8:C12)</f>
        <v>13475212.898786988</v>
      </c>
      <c r="D14" s="62">
        <f t="shared" ref="D14:N14" si="2">SUM(D8:D12)</f>
        <v>27770755.101115894</v>
      </c>
      <c r="E14" s="62">
        <f t="shared" si="2"/>
        <v>7933043.8051188523</v>
      </c>
      <c r="F14" s="62">
        <f t="shared" si="2"/>
        <v>6003296.7431449797</v>
      </c>
      <c r="G14" s="62">
        <f t="shared" si="2"/>
        <v>6140303.91866899</v>
      </c>
      <c r="H14" s="62">
        <f t="shared" si="2"/>
        <v>10992143.318751996</v>
      </c>
      <c r="I14" s="62">
        <f t="shared" si="2"/>
        <v>2693920.330167009</v>
      </c>
      <c r="J14" s="62">
        <f t="shared" si="2"/>
        <v>2635709.746995999</v>
      </c>
      <c r="K14" s="62">
        <f t="shared" si="2"/>
        <v>1380552.183668989</v>
      </c>
      <c r="L14" s="62">
        <f t="shared" si="2"/>
        <v>3400009.7559460001</v>
      </c>
      <c r="M14" s="62">
        <f t="shared" si="2"/>
        <v>1093935.0917260023</v>
      </c>
      <c r="N14" s="62">
        <f t="shared" si="2"/>
        <v>821984.53737499891</v>
      </c>
      <c r="O14" s="71">
        <f>SUM(C14:N14)</f>
        <v>84340867.431466699</v>
      </c>
      <c r="P14" s="62">
        <f>P13-O14</f>
        <v>0</v>
      </c>
      <c r="Q14" s="2"/>
      <c r="R14" s="13"/>
    </row>
    <row r="15" spans="1:21" x14ac:dyDescent="0.25">
      <c r="A15" s="14"/>
      <c r="B15" s="9" t="s">
        <v>78</v>
      </c>
      <c r="C15" s="62">
        <f>(C14+P8)/2</f>
        <v>13475212.938071484</v>
      </c>
      <c r="D15" s="62">
        <f>(D14+P9)/2</f>
        <v>27770755.032137427</v>
      </c>
      <c r="E15" s="62">
        <f>(E14+P10)/2</f>
        <v>7933043.8338463781</v>
      </c>
      <c r="F15" s="62">
        <f>(F14+P11)/2</f>
        <v>6003296.7358794836</v>
      </c>
      <c r="G15" s="62">
        <f>G14</f>
        <v>6140303.91866899</v>
      </c>
      <c r="H15" s="62">
        <f t="shared" ref="H15:N15" si="3">H14</f>
        <v>10992143.318751996</v>
      </c>
      <c r="I15" s="62">
        <f t="shared" si="3"/>
        <v>2693920.330167009</v>
      </c>
      <c r="J15" s="62">
        <f t="shared" si="3"/>
        <v>2635709.746995999</v>
      </c>
      <c r="K15" s="62">
        <f t="shared" si="3"/>
        <v>1380552.183668989</v>
      </c>
      <c r="L15" s="62">
        <f t="shared" si="3"/>
        <v>3400009.7559460001</v>
      </c>
      <c r="M15" s="62">
        <f t="shared" si="3"/>
        <v>1093935.0917260023</v>
      </c>
      <c r="N15" s="62">
        <f t="shared" si="3"/>
        <v>821984.53737499891</v>
      </c>
      <c r="O15" s="71">
        <f>SUM(C15:N15)</f>
        <v>84340867.423234761</v>
      </c>
      <c r="P15" s="62"/>
      <c r="Q15" s="56">
        <f>Q13-O15</f>
        <v>0</v>
      </c>
      <c r="R15" s="13"/>
    </row>
    <row r="16" spans="1:21" x14ac:dyDescent="0.25">
      <c r="A16" s="19"/>
      <c r="B16" s="58"/>
      <c r="C16" s="66">
        <f>C15-C14</f>
        <v>3.9284495636820793E-2</v>
      </c>
      <c r="D16" s="66">
        <f t="shared" ref="D16:N16" si="4">D15-D14</f>
        <v>-6.8978466093540192E-2</v>
      </c>
      <c r="E16" s="66">
        <f t="shared" si="4"/>
        <v>2.8727525845170021E-2</v>
      </c>
      <c r="F16" s="66">
        <f t="shared" si="4"/>
        <v>-7.2654960677027702E-3</v>
      </c>
      <c r="G16" s="66">
        <f t="shared" si="4"/>
        <v>0</v>
      </c>
      <c r="H16" s="66">
        <f t="shared" si="4"/>
        <v>0</v>
      </c>
      <c r="I16" s="66">
        <f t="shared" si="4"/>
        <v>0</v>
      </c>
      <c r="J16" s="66">
        <f t="shared" si="4"/>
        <v>0</v>
      </c>
      <c r="K16" s="66">
        <f t="shared" si="4"/>
        <v>0</v>
      </c>
      <c r="L16" s="66">
        <f t="shared" si="4"/>
        <v>0</v>
      </c>
      <c r="M16" s="66">
        <f t="shared" si="4"/>
        <v>0</v>
      </c>
      <c r="N16" s="66">
        <f t="shared" si="4"/>
        <v>0</v>
      </c>
      <c r="O16" s="66"/>
      <c r="P16" s="66"/>
      <c r="Q16" s="20"/>
      <c r="R16" s="21"/>
    </row>
    <row r="17" spans="1:18" x14ac:dyDescent="0.25"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</row>
    <row r="18" spans="1:18" x14ac:dyDescent="0.25">
      <c r="A18" s="59" t="s">
        <v>81</v>
      </c>
      <c r="B18" s="54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54"/>
      <c r="R18" s="55"/>
    </row>
    <row r="19" spans="1:18" x14ac:dyDescent="0.25">
      <c r="A19" s="14"/>
      <c r="B19" s="2"/>
      <c r="C19" s="145" t="s">
        <v>11</v>
      </c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62"/>
      <c r="P19" s="71" t="s">
        <v>13</v>
      </c>
      <c r="Q19" s="7" t="s">
        <v>39</v>
      </c>
      <c r="R19" s="13"/>
    </row>
    <row r="20" spans="1:18" x14ac:dyDescent="0.25">
      <c r="A20" s="14"/>
      <c r="B20" s="2"/>
      <c r="C20" s="146" t="s">
        <v>1</v>
      </c>
      <c r="D20" s="145"/>
      <c r="E20" s="145"/>
      <c r="F20" s="147"/>
      <c r="G20" s="145" t="s">
        <v>5</v>
      </c>
      <c r="H20" s="145"/>
      <c r="I20" s="145"/>
      <c r="J20" s="147"/>
      <c r="K20" s="148" t="s">
        <v>3</v>
      </c>
      <c r="L20" s="145"/>
      <c r="M20" s="145"/>
      <c r="N20" s="149"/>
      <c r="O20" s="62"/>
      <c r="P20" s="62"/>
      <c r="Q20" s="2"/>
      <c r="R20" s="13"/>
    </row>
    <row r="21" spans="1:18" ht="15.75" thickBot="1" x14ac:dyDescent="0.3">
      <c r="A21" s="14"/>
      <c r="B21" s="2"/>
      <c r="C21" s="72" t="s">
        <v>7</v>
      </c>
      <c r="D21" s="73" t="s">
        <v>8</v>
      </c>
      <c r="E21" s="73" t="s">
        <v>9</v>
      </c>
      <c r="F21" s="74" t="s">
        <v>0</v>
      </c>
      <c r="G21" s="73" t="s">
        <v>7</v>
      </c>
      <c r="H21" s="73" t="s">
        <v>8</v>
      </c>
      <c r="I21" s="73" t="s">
        <v>9</v>
      </c>
      <c r="J21" s="74" t="s">
        <v>0</v>
      </c>
      <c r="K21" s="73" t="s">
        <v>7</v>
      </c>
      <c r="L21" s="73" t="s">
        <v>8</v>
      </c>
      <c r="M21" s="73" t="s">
        <v>9</v>
      </c>
      <c r="N21" s="75" t="s">
        <v>0</v>
      </c>
      <c r="O21" s="62"/>
      <c r="P21" s="62"/>
      <c r="Q21" s="2"/>
      <c r="R21" s="13"/>
    </row>
    <row r="22" spans="1:18" ht="15.75" thickTop="1" x14ac:dyDescent="0.25">
      <c r="A22" s="150" t="s">
        <v>10</v>
      </c>
      <c r="B22" s="7" t="s">
        <v>7</v>
      </c>
      <c r="C22" s="61">
        <v>5564804.2664373862</v>
      </c>
      <c r="D22" s="62">
        <v>228785.35852844641</v>
      </c>
      <c r="E22" s="62">
        <v>94560.991268332247</v>
      </c>
      <c r="F22" s="63">
        <v>197436.19747258461</v>
      </c>
      <c r="G22" s="62">
        <v>5926949.1729290169</v>
      </c>
      <c r="H22" s="62">
        <v>80793.271593902246</v>
      </c>
      <c r="I22" s="62">
        <v>23796.918202255772</v>
      </c>
      <c r="J22" s="63">
        <v>39382.304926033845</v>
      </c>
      <c r="K22" s="62">
        <v>1218234.1868745731</v>
      </c>
      <c r="L22" s="62">
        <v>51246.054381103066</v>
      </c>
      <c r="M22" s="62">
        <v>23271.258425006239</v>
      </c>
      <c r="N22" s="64">
        <v>25952.957038492499</v>
      </c>
      <c r="O22" s="62"/>
      <c r="P22" s="62">
        <f>SUM(C22:N22)</f>
        <v>13475212.938077131</v>
      </c>
      <c r="Q22" s="56">
        <f>Q8</f>
        <v>13475212.938071484</v>
      </c>
      <c r="R22" s="115">
        <f>Q22-P22</f>
        <v>-5.6475400924682617E-6</v>
      </c>
    </row>
    <row r="23" spans="1:18" x14ac:dyDescent="0.25">
      <c r="A23" s="150"/>
      <c r="B23" s="7" t="s">
        <v>8</v>
      </c>
      <c r="C23" s="61">
        <v>261470.69247068494</v>
      </c>
      <c r="D23" s="62">
        <v>12275066.818850553</v>
      </c>
      <c r="E23" s="62">
        <v>241701.14516750092</v>
      </c>
      <c r="F23" s="63">
        <v>399022.63325623551</v>
      </c>
      <c r="G23" s="62">
        <v>96252.139286830163</v>
      </c>
      <c r="H23" s="62">
        <v>10704035.358149167</v>
      </c>
      <c r="I23" s="62">
        <v>71946.141329368314</v>
      </c>
      <c r="J23" s="63">
        <v>110572.75313071824</v>
      </c>
      <c r="K23" s="62">
        <v>109753.5638649686</v>
      </c>
      <c r="L23" s="62">
        <v>3294355.465238513</v>
      </c>
      <c r="M23" s="62">
        <v>80501.005451682257</v>
      </c>
      <c r="N23" s="64">
        <v>126077.31593519982</v>
      </c>
      <c r="O23" s="62"/>
      <c r="P23" s="62">
        <f t="shared" ref="P23:P26" si="5">SUM(C23:N23)</f>
        <v>27770755.032131422</v>
      </c>
      <c r="Q23" s="56">
        <f t="shared" ref="Q23:Q26" si="6">Q9</f>
        <v>27770755.032137427</v>
      </c>
      <c r="R23" s="115">
        <f t="shared" ref="R23:R26" si="7">Q23-P23</f>
        <v>6.0051679611206055E-6</v>
      </c>
    </row>
    <row r="24" spans="1:18" x14ac:dyDescent="0.25">
      <c r="A24" s="150"/>
      <c r="B24" s="7" t="s">
        <v>9</v>
      </c>
      <c r="C24" s="61">
        <v>95152.366388163427</v>
      </c>
      <c r="D24" s="62">
        <v>235463.17281323919</v>
      </c>
      <c r="E24" s="62">
        <v>3640906.9840632132</v>
      </c>
      <c r="F24" s="63">
        <v>107542.97285170347</v>
      </c>
      <c r="G24" s="62">
        <v>69612.719485673399</v>
      </c>
      <c r="H24" s="62">
        <v>118632.42681035015</v>
      </c>
      <c r="I24" s="62">
        <v>2571912.3435154334</v>
      </c>
      <c r="J24" s="63">
        <v>27544.246953702092</v>
      </c>
      <c r="K24" s="62">
        <v>30617.293819350543</v>
      </c>
      <c r="L24" s="62">
        <v>28805.311450726502</v>
      </c>
      <c r="M24" s="62">
        <v>981448.19822669344</v>
      </c>
      <c r="N24" s="64">
        <v>25405.79746879491</v>
      </c>
      <c r="O24" s="62"/>
      <c r="P24" s="62">
        <f t="shared" si="5"/>
        <v>7933043.8338470431</v>
      </c>
      <c r="Q24" s="56">
        <f t="shared" si="6"/>
        <v>7933043.8338463781</v>
      </c>
      <c r="R24" s="115">
        <f t="shared" si="7"/>
        <v>-6.6496431827545166E-7</v>
      </c>
    </row>
    <row r="25" spans="1:18" x14ac:dyDescent="0.25">
      <c r="A25" s="150"/>
      <c r="B25" s="7" t="s">
        <v>0</v>
      </c>
      <c r="C25" s="61">
        <v>103957.0235870342</v>
      </c>
      <c r="D25" s="62">
        <v>268168.77441047278</v>
      </c>
      <c r="E25" s="62">
        <v>110477.23760934155</v>
      </c>
      <c r="F25" s="63">
        <v>2199233.0214599343</v>
      </c>
      <c r="G25" s="62">
        <v>47489.886967469742</v>
      </c>
      <c r="H25" s="62">
        <v>88682.262198576325</v>
      </c>
      <c r="I25" s="62">
        <v>26264.927119951724</v>
      </c>
      <c r="J25" s="63">
        <v>2458210.4419855447</v>
      </c>
      <c r="K25" s="62">
        <v>21947.139110096494</v>
      </c>
      <c r="L25" s="62">
        <v>25602.924875657292</v>
      </c>
      <c r="M25" s="62">
        <v>8714.6296226206923</v>
      </c>
      <c r="N25" s="64">
        <v>644548.46693251166</v>
      </c>
      <c r="O25" s="62"/>
      <c r="P25" s="62">
        <f t="shared" si="5"/>
        <v>6003296.7358792117</v>
      </c>
      <c r="Q25" s="56">
        <f t="shared" si="6"/>
        <v>6003296.7358794836</v>
      </c>
      <c r="R25" s="115">
        <f t="shared" si="7"/>
        <v>2.7194619178771973E-7</v>
      </c>
    </row>
    <row r="26" spans="1:18" x14ac:dyDescent="0.25">
      <c r="A26" s="57"/>
      <c r="B26" s="7" t="s">
        <v>2</v>
      </c>
      <c r="C26" s="65">
        <v>7449828.5891882153</v>
      </c>
      <c r="D26" s="66">
        <v>14763270.907534719</v>
      </c>
      <c r="E26" s="66">
        <v>3845397.4757379903</v>
      </c>
      <c r="F26" s="67">
        <v>3100061.9108390249</v>
      </c>
      <c r="G26" s="66">
        <v>0</v>
      </c>
      <c r="H26" s="66">
        <v>0</v>
      </c>
      <c r="I26" s="66">
        <v>0</v>
      </c>
      <c r="J26" s="67">
        <v>0</v>
      </c>
      <c r="K26" s="66">
        <v>0</v>
      </c>
      <c r="L26" s="66">
        <v>0</v>
      </c>
      <c r="M26" s="66">
        <v>0</v>
      </c>
      <c r="N26" s="68">
        <v>0</v>
      </c>
      <c r="O26" s="62"/>
      <c r="P26" s="62">
        <f t="shared" si="5"/>
        <v>29158558.883299947</v>
      </c>
      <c r="Q26" s="56">
        <f t="shared" si="6"/>
        <v>29158558.883299988</v>
      </c>
      <c r="R26" s="115">
        <f t="shared" si="7"/>
        <v>4.0978193283081055E-8</v>
      </c>
    </row>
    <row r="27" spans="1:18" x14ac:dyDescent="0.25">
      <c r="A27" s="14"/>
      <c r="B27" s="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71">
        <f>SUM(P22:P26)</f>
        <v>84340867.423234761</v>
      </c>
      <c r="Q27" s="71">
        <f>SUM(Q22:Q26)</f>
        <v>84340867.423234761</v>
      </c>
      <c r="R27" s="13"/>
    </row>
    <row r="28" spans="1:18" x14ac:dyDescent="0.25">
      <c r="A28" s="14"/>
      <c r="B28" s="9" t="s">
        <v>79</v>
      </c>
      <c r="C28" s="62">
        <f>SUM(C22:C26)</f>
        <v>13475212.938071484</v>
      </c>
      <c r="D28" s="62">
        <f t="shared" ref="D28:N28" si="8">SUM(D22:D26)</f>
        <v>27770755.032137431</v>
      </c>
      <c r="E28" s="62">
        <f t="shared" si="8"/>
        <v>7933043.8338463791</v>
      </c>
      <c r="F28" s="62">
        <f t="shared" si="8"/>
        <v>6003296.7358794827</v>
      </c>
      <c r="G28" s="62">
        <f t="shared" si="8"/>
        <v>6140303.91866899</v>
      </c>
      <c r="H28" s="62">
        <f t="shared" si="8"/>
        <v>10992143.318751996</v>
      </c>
      <c r="I28" s="62">
        <f t="shared" si="8"/>
        <v>2693920.330167009</v>
      </c>
      <c r="J28" s="62">
        <f t="shared" si="8"/>
        <v>2635709.746995999</v>
      </c>
      <c r="K28" s="62">
        <f t="shared" si="8"/>
        <v>1380552.183668989</v>
      </c>
      <c r="L28" s="62">
        <f t="shared" si="8"/>
        <v>3400009.7559459996</v>
      </c>
      <c r="M28" s="62">
        <f t="shared" si="8"/>
        <v>1093935.0917260027</v>
      </c>
      <c r="N28" s="62">
        <f t="shared" si="8"/>
        <v>821984.53737499891</v>
      </c>
      <c r="O28" s="71">
        <f>SUM(C28:N28)</f>
        <v>84340867.423234761</v>
      </c>
      <c r="P28" s="62">
        <f>P27-O28</f>
        <v>0</v>
      </c>
      <c r="Q28" s="2"/>
      <c r="R28" s="13"/>
    </row>
    <row r="29" spans="1:18" x14ac:dyDescent="0.25">
      <c r="A29" s="14"/>
      <c r="B29" s="7" t="s">
        <v>78</v>
      </c>
      <c r="C29" s="116">
        <f>C15</f>
        <v>13475212.938071484</v>
      </c>
      <c r="D29" s="116">
        <f t="shared" ref="D29:N29" si="9">D15</f>
        <v>27770755.032137427</v>
      </c>
      <c r="E29" s="116">
        <f t="shared" si="9"/>
        <v>7933043.8338463781</v>
      </c>
      <c r="F29" s="116">
        <f t="shared" si="9"/>
        <v>6003296.7358794836</v>
      </c>
      <c r="G29" s="116">
        <f t="shared" si="9"/>
        <v>6140303.91866899</v>
      </c>
      <c r="H29" s="116">
        <f t="shared" si="9"/>
        <v>10992143.318751996</v>
      </c>
      <c r="I29" s="116">
        <f t="shared" si="9"/>
        <v>2693920.330167009</v>
      </c>
      <c r="J29" s="116">
        <f t="shared" si="9"/>
        <v>2635709.746995999</v>
      </c>
      <c r="K29" s="116">
        <f t="shared" si="9"/>
        <v>1380552.183668989</v>
      </c>
      <c r="L29" s="116">
        <f t="shared" si="9"/>
        <v>3400009.7559460001</v>
      </c>
      <c r="M29" s="116">
        <f t="shared" si="9"/>
        <v>1093935.0917260023</v>
      </c>
      <c r="N29" s="116">
        <f t="shared" si="9"/>
        <v>821984.53737499891</v>
      </c>
      <c r="O29" s="118">
        <f>SUM(C29:N29)</f>
        <v>84340867.423234761</v>
      </c>
      <c r="P29" s="2"/>
      <c r="Q29" s="120">
        <f>Q27-O29</f>
        <v>0</v>
      </c>
      <c r="R29" s="13"/>
    </row>
    <row r="30" spans="1:18" x14ac:dyDescent="0.25">
      <c r="A30" s="19"/>
      <c r="B30" s="20"/>
      <c r="C30" s="119">
        <f>C29-C28</f>
        <v>0</v>
      </c>
      <c r="D30" s="119">
        <f t="shared" ref="D30:N30" si="10">D29-D28</f>
        <v>0</v>
      </c>
      <c r="E30" s="119">
        <f t="shared" si="10"/>
        <v>0</v>
      </c>
      <c r="F30" s="119">
        <f t="shared" si="10"/>
        <v>0</v>
      </c>
      <c r="G30" s="119">
        <f t="shared" si="10"/>
        <v>0</v>
      </c>
      <c r="H30" s="119">
        <f t="shared" si="10"/>
        <v>0</v>
      </c>
      <c r="I30" s="119">
        <f t="shared" si="10"/>
        <v>0</v>
      </c>
      <c r="J30" s="119">
        <f t="shared" si="10"/>
        <v>0</v>
      </c>
      <c r="K30" s="119">
        <f t="shared" si="10"/>
        <v>0</v>
      </c>
      <c r="L30" s="119">
        <f t="shared" si="10"/>
        <v>0</v>
      </c>
      <c r="M30" s="119">
        <f t="shared" si="10"/>
        <v>0</v>
      </c>
      <c r="N30" s="119">
        <f t="shared" si="10"/>
        <v>0</v>
      </c>
      <c r="O30" s="20"/>
      <c r="P30" s="20"/>
      <c r="Q30" s="20"/>
      <c r="R30" s="21"/>
    </row>
    <row r="32" spans="1:18" x14ac:dyDescent="0.25">
      <c r="C32" s="3" t="s">
        <v>7</v>
      </c>
      <c r="D32" s="3" t="s">
        <v>8</v>
      </c>
      <c r="E32" s="3" t="s">
        <v>9</v>
      </c>
      <c r="F32" s="3" t="s">
        <v>0</v>
      </c>
    </row>
    <row r="33" spans="2:7" x14ac:dyDescent="0.25">
      <c r="B33" s="42" t="s">
        <v>44</v>
      </c>
      <c r="C33" s="3"/>
      <c r="D33" s="3"/>
      <c r="E33" s="3"/>
      <c r="F33" s="3"/>
    </row>
    <row r="34" spans="2:7" x14ac:dyDescent="0.25">
      <c r="B34" s="3" t="s">
        <v>4</v>
      </c>
      <c r="C34" s="76">
        <f>C26</f>
        <v>7449828.5891882153</v>
      </c>
      <c r="D34" s="76">
        <f t="shared" ref="D34:F34" si="11">D26</f>
        <v>14763270.907534719</v>
      </c>
      <c r="E34" s="76">
        <f t="shared" si="11"/>
        <v>3845397.4757379903</v>
      </c>
      <c r="F34" s="76">
        <f t="shared" si="11"/>
        <v>3100061.9108390249</v>
      </c>
    </row>
    <row r="35" spans="2:7" x14ac:dyDescent="0.25">
      <c r="B35" s="3" t="s">
        <v>6</v>
      </c>
      <c r="C35" s="76">
        <f>C28</f>
        <v>13475212.938071484</v>
      </c>
      <c r="D35" s="76">
        <f t="shared" ref="D35:F35" si="12">D28</f>
        <v>27770755.032137431</v>
      </c>
      <c r="E35" s="76">
        <f t="shared" si="12"/>
        <v>7933043.8338463791</v>
      </c>
      <c r="F35" s="76">
        <f t="shared" si="12"/>
        <v>6003296.7358794827</v>
      </c>
    </row>
    <row r="36" spans="2:7" x14ac:dyDescent="0.25">
      <c r="B36" s="3"/>
      <c r="C36" s="76"/>
      <c r="D36" s="76"/>
      <c r="E36" s="76"/>
      <c r="F36" s="76"/>
    </row>
    <row r="37" spans="2:7" x14ac:dyDescent="0.25">
      <c r="B37" s="42" t="s">
        <v>45</v>
      </c>
      <c r="C37" s="76"/>
      <c r="D37" s="76"/>
      <c r="E37" s="76"/>
      <c r="F37" s="76"/>
    </row>
    <row r="38" spans="2:7" x14ac:dyDescent="0.25">
      <c r="B38" s="3" t="s">
        <v>30</v>
      </c>
      <c r="C38" s="76">
        <f>SUM(D22:F22,H22:J22,L22:N22)</f>
        <v>765225.31183615688</v>
      </c>
      <c r="D38" s="76">
        <f>SUM(C23,E23:F23,G23,I23:J23,K23,M23:N23)</f>
        <v>1497297.3898931886</v>
      </c>
      <c r="E38" s="76">
        <f>SUM(C24:D24,F24,G24:H24,J24,K24:L24,N24)</f>
        <v>738776.30804170354</v>
      </c>
      <c r="F38" s="76">
        <f>SUM(C25:E25,G25:I25,K25:M25)</f>
        <v>701304.80550122075</v>
      </c>
    </row>
    <row r="39" spans="2:7" x14ac:dyDescent="0.25">
      <c r="B39" s="3" t="s">
        <v>31</v>
      </c>
      <c r="C39" s="76">
        <f>SUM(C23:C25,G23:G25,K23:K25)</f>
        <v>836252.8249802714</v>
      </c>
      <c r="D39" s="76">
        <f>SUM(D22,D24:D25,H22,H24:H25,L22,L24:L25)</f>
        <v>1126179.5570624741</v>
      </c>
      <c r="E39" s="76">
        <f>SUM(E22:E23,E25,I22:I23,I25,M22:M23,M25)</f>
        <v>681234.25419605977</v>
      </c>
      <c r="F39" s="76">
        <f>SUM(F22:F24,J22:J24,N22:N24)</f>
        <v>1058937.179033465</v>
      </c>
    </row>
    <row r="40" spans="2:7" x14ac:dyDescent="0.25">
      <c r="B40" s="3" t="s">
        <v>32</v>
      </c>
      <c r="C40" s="76">
        <f>C38-C39</f>
        <v>-71027.51314411452</v>
      </c>
      <c r="D40" s="76">
        <f t="shared" ref="D40:F40" si="13">D38-D39</f>
        <v>371117.83283071453</v>
      </c>
      <c r="E40" s="76">
        <f t="shared" si="13"/>
        <v>57542.053845643764</v>
      </c>
      <c r="F40" s="76">
        <f t="shared" si="13"/>
        <v>-357632.37353224424</v>
      </c>
      <c r="G40" s="136"/>
    </row>
    <row r="41" spans="2:7" x14ac:dyDescent="0.25">
      <c r="B41" s="3" t="s">
        <v>46</v>
      </c>
      <c r="C41" s="76">
        <f>C38/C$34</f>
        <v>0.10271717029123499</v>
      </c>
      <c r="D41" s="76">
        <f t="shared" ref="D41:F41" si="14">D38/D$34</f>
        <v>0.10142043719654391</v>
      </c>
      <c r="E41" s="76">
        <f t="shared" si="14"/>
        <v>0.19211962162634985</v>
      </c>
      <c r="F41" s="76">
        <f t="shared" si="14"/>
        <v>0.22622283866305565</v>
      </c>
    </row>
    <row r="42" spans="2:7" x14ac:dyDescent="0.25">
      <c r="B42" s="3" t="s">
        <v>47</v>
      </c>
      <c r="C42" s="76">
        <f t="shared" ref="C42:F42" si="15">C39/C$34</f>
        <v>0.11225128403543513</v>
      </c>
      <c r="D42" s="76">
        <f t="shared" si="15"/>
        <v>7.6282523305029021E-2</v>
      </c>
      <c r="E42" s="76">
        <f t="shared" si="15"/>
        <v>0.17715574488572747</v>
      </c>
      <c r="F42" s="76">
        <f t="shared" si="15"/>
        <v>0.34158581650611808</v>
      </c>
    </row>
    <row r="43" spans="2:7" x14ac:dyDescent="0.25">
      <c r="B43" s="3" t="s">
        <v>48</v>
      </c>
      <c r="C43" s="76">
        <f t="shared" ref="C43:F43" si="16">C40/C$34</f>
        <v>-9.5341137442001428E-3</v>
      </c>
      <c r="D43" s="76">
        <f t="shared" si="16"/>
        <v>2.5137913891514884E-2</v>
      </c>
      <c r="E43" s="76">
        <f t="shared" si="16"/>
        <v>1.4963876740622389E-2</v>
      </c>
      <c r="F43" s="76">
        <f t="shared" si="16"/>
        <v>-0.11536297784306244</v>
      </c>
    </row>
    <row r="44" spans="2:7" x14ac:dyDescent="0.25">
      <c r="B44" s="3" t="s">
        <v>119</v>
      </c>
      <c r="C44" s="76">
        <f>(C38+C39)/(C$34)</f>
        <v>0.21496845432667014</v>
      </c>
      <c r="D44" s="76">
        <f t="shared" ref="D44:F44" si="17">(D38+D39)/(D$34)</f>
        <v>0.17770296050157292</v>
      </c>
      <c r="E44" s="76">
        <f t="shared" si="17"/>
        <v>0.36927536651207732</v>
      </c>
      <c r="F44" s="76">
        <f t="shared" si="17"/>
        <v>0.56780865516917378</v>
      </c>
    </row>
    <row r="45" spans="2:7" x14ac:dyDescent="0.25">
      <c r="B45" s="3" t="s">
        <v>94</v>
      </c>
      <c r="C45" s="136">
        <f>C40/SUM($C$34:$F$34)</f>
        <v>-2.4359061580644264E-3</v>
      </c>
      <c r="D45" s="136">
        <f>D40/SUM($C$34:$F$34)</f>
        <v>1.2727578009462798E-2</v>
      </c>
      <c r="E45" s="136">
        <f>E40/SUM($C$34:$F$34)</f>
        <v>1.9734189908335959E-3</v>
      </c>
      <c r="F45" s="136">
        <f>F40/SUM($C$34:$F$34)</f>
        <v>-1.2265090842231983E-2</v>
      </c>
    </row>
    <row r="46" spans="2:7" x14ac:dyDescent="0.25">
      <c r="B46" s="3"/>
      <c r="C46" s="76"/>
      <c r="D46" s="76"/>
      <c r="E46" s="76"/>
      <c r="F46" s="76"/>
    </row>
    <row r="47" spans="2:7" x14ac:dyDescent="0.25">
      <c r="B47" s="42" t="s">
        <v>49</v>
      </c>
      <c r="C47" s="76"/>
      <c r="D47" s="76"/>
      <c r="E47" s="76"/>
      <c r="F47" s="76"/>
    </row>
    <row r="48" spans="2:7" x14ac:dyDescent="0.25">
      <c r="B48" s="3" t="s">
        <v>33</v>
      </c>
      <c r="C48" s="76">
        <f>SUM(D22:F22)</f>
        <v>520782.54726936325</v>
      </c>
      <c r="D48" s="76">
        <f>SUM(C23,E23:F23)</f>
        <v>902194.47089442133</v>
      </c>
      <c r="E48" s="76">
        <f>SUM(C24:D24,F24)</f>
        <v>438158.5120531061</v>
      </c>
      <c r="F48" s="76">
        <f>SUM(C25:E25)</f>
        <v>482603.03560684854</v>
      </c>
    </row>
    <row r="49" spans="2:8" x14ac:dyDescent="0.25">
      <c r="B49" s="3" t="s">
        <v>34</v>
      </c>
      <c r="C49" s="76">
        <f>SUM(C23:C25)</f>
        <v>460580.08244588255</v>
      </c>
      <c r="D49" s="76">
        <f>SUM(D22,D24:D25)</f>
        <v>732417.3057521584</v>
      </c>
      <c r="E49" s="76">
        <f>SUM(E22:E23,E25)</f>
        <v>446739.37404517474</v>
      </c>
      <c r="F49" s="76">
        <f>SUM(F22:F24)</f>
        <v>704001.80358052347</v>
      </c>
    </row>
    <row r="50" spans="2:8" x14ac:dyDescent="0.25">
      <c r="B50" s="3" t="s">
        <v>35</v>
      </c>
      <c r="C50" s="76">
        <f>C48-C49</f>
        <v>60202.464823480695</v>
      </c>
      <c r="D50" s="76">
        <f t="shared" ref="D50:F50" si="18">D48-D49</f>
        <v>169777.16514226294</v>
      </c>
      <c r="E50" s="76">
        <f t="shared" si="18"/>
        <v>-8580.8619920686469</v>
      </c>
      <c r="F50" s="76">
        <f t="shared" si="18"/>
        <v>-221398.76797367493</v>
      </c>
    </row>
    <row r="51" spans="2:8" x14ac:dyDescent="0.25">
      <c r="B51" s="3" t="s">
        <v>51</v>
      </c>
      <c r="C51" s="76">
        <f>C48/C$34</f>
        <v>6.9905306012699994E-2</v>
      </c>
      <c r="D51" s="76">
        <f t="shared" ref="D51:F51" si="19">D48/D$34</f>
        <v>6.1110744126084492E-2</v>
      </c>
      <c r="E51" s="76">
        <f t="shared" si="19"/>
        <v>0.11394362086562113</v>
      </c>
      <c r="F51" s="76">
        <f t="shared" si="19"/>
        <v>0.15567528955453444</v>
      </c>
      <c r="H51" s="76"/>
    </row>
    <row r="52" spans="2:8" x14ac:dyDescent="0.25">
      <c r="B52" s="3" t="s">
        <v>52</v>
      </c>
      <c r="C52" s="76">
        <f t="shared" ref="C52:F52" si="20">C49/C$34</f>
        <v>6.1824252320961191E-2</v>
      </c>
      <c r="D52" s="76">
        <f t="shared" si="20"/>
        <v>4.9610774627075034E-2</v>
      </c>
      <c r="E52" s="76">
        <f t="shared" si="20"/>
        <v>0.11617508381482428</v>
      </c>
      <c r="F52" s="76">
        <f t="shared" si="20"/>
        <v>0.22709282066885786</v>
      </c>
    </row>
    <row r="53" spans="2:8" x14ac:dyDescent="0.25">
      <c r="B53" s="3" t="s">
        <v>53</v>
      </c>
      <c r="C53" s="76">
        <f t="shared" ref="C53:F53" si="21">C50/C$34</f>
        <v>8.0810536917388012E-3</v>
      </c>
      <c r="D53" s="76">
        <f t="shared" si="21"/>
        <v>1.1499969499009458E-2</v>
      </c>
      <c r="E53" s="76">
        <f t="shared" si="21"/>
        <v>-2.2314629492031506E-3</v>
      </c>
      <c r="F53" s="76">
        <f t="shared" si="21"/>
        <v>-7.1417531114323404E-2</v>
      </c>
    </row>
    <row r="54" spans="2:8" x14ac:dyDescent="0.25">
      <c r="B54" s="3" t="s">
        <v>98</v>
      </c>
      <c r="C54" s="76">
        <f>C49/(C35-C34)</f>
        <v>7.6439950678207844E-2</v>
      </c>
      <c r="D54" s="76">
        <f t="shared" ref="D54:F54" si="22">D49/(D35-D34)</f>
        <v>5.6307376486959854E-2</v>
      </c>
      <c r="E54" s="76">
        <f t="shared" si="22"/>
        <v>0.10929012319253302</v>
      </c>
      <c r="F54" s="76">
        <f t="shared" si="22"/>
        <v>0.24248875685442114</v>
      </c>
    </row>
    <row r="55" spans="2:8" x14ac:dyDescent="0.25">
      <c r="B55" s="3"/>
      <c r="C55" s="76">
        <f>(C48+C49)/(C38+C39)</f>
        <v>0.61278553053873874</v>
      </c>
      <c r="D55" s="76">
        <f>(D48+D49)/(D38+D39)</f>
        <v>0.62307076055820398</v>
      </c>
      <c r="E55" s="76">
        <f>(E48+E49)/(E38+E39)</f>
        <v>0.62316289021385141</v>
      </c>
      <c r="F55" s="76">
        <f>(F48+F49)/(F38+F39)</f>
        <v>0.67411461015744789</v>
      </c>
    </row>
    <row r="56" spans="2:8" x14ac:dyDescent="0.25">
      <c r="B56" s="42" t="s">
        <v>50</v>
      </c>
      <c r="C56" s="76"/>
      <c r="D56" s="76"/>
      <c r="E56" s="76"/>
      <c r="F56" s="76"/>
    </row>
    <row r="57" spans="2:8" x14ac:dyDescent="0.25">
      <c r="B57" s="3" t="s">
        <v>36</v>
      </c>
      <c r="C57" s="76">
        <f t="shared" ref="C57:F58" si="23">C38-C48</f>
        <v>244442.76456679363</v>
      </c>
      <c r="D57" s="76">
        <f t="shared" si="23"/>
        <v>595102.91899876727</v>
      </c>
      <c r="E57" s="76">
        <f t="shared" si="23"/>
        <v>300617.79598859744</v>
      </c>
      <c r="F57" s="76">
        <f t="shared" si="23"/>
        <v>218701.76989437221</v>
      </c>
    </row>
    <row r="58" spans="2:8" x14ac:dyDescent="0.25">
      <c r="B58" s="3" t="s">
        <v>37</v>
      </c>
      <c r="C58" s="76">
        <f t="shared" si="23"/>
        <v>375672.74253438885</v>
      </c>
      <c r="D58" s="76">
        <f t="shared" si="23"/>
        <v>393762.25131031568</v>
      </c>
      <c r="E58" s="76">
        <f t="shared" si="23"/>
        <v>234494.88015088503</v>
      </c>
      <c r="F58" s="76">
        <f t="shared" si="23"/>
        <v>354935.37545294152</v>
      </c>
    </row>
    <row r="59" spans="2:8" x14ac:dyDescent="0.25">
      <c r="B59" s="3" t="s">
        <v>38</v>
      </c>
      <c r="C59" s="76">
        <f>C57-C58</f>
        <v>-131229.97796759522</v>
      </c>
      <c r="D59" s="76">
        <f t="shared" ref="D59:F59" si="24">D57-D58</f>
        <v>201340.66768845159</v>
      </c>
      <c r="E59" s="76">
        <f t="shared" si="24"/>
        <v>66122.915837712411</v>
      </c>
      <c r="F59" s="76">
        <f t="shared" si="24"/>
        <v>-136233.60555856931</v>
      </c>
    </row>
    <row r="60" spans="2:8" x14ac:dyDescent="0.25">
      <c r="B60" s="3" t="s">
        <v>54</v>
      </c>
      <c r="C60" s="76">
        <f>C57/C$34</f>
        <v>3.2811864278535004E-2</v>
      </c>
      <c r="D60" s="76">
        <f t="shared" ref="D60:F60" si="25">D57/D$34</f>
        <v>4.030969307045941E-2</v>
      </c>
      <c r="E60" s="76">
        <f t="shared" si="25"/>
        <v>7.8176000760728726E-2</v>
      </c>
      <c r="F60" s="76">
        <f t="shared" si="25"/>
        <v>7.0547549108521207E-2</v>
      </c>
    </row>
    <row r="61" spans="2:8" x14ac:dyDescent="0.25">
      <c r="B61" s="3" t="s">
        <v>55</v>
      </c>
      <c r="C61" s="76">
        <f t="shared" ref="C61:F61" si="26">C58/C$34</f>
        <v>5.0427031714473949E-2</v>
      </c>
      <c r="D61" s="76">
        <f t="shared" si="26"/>
        <v>2.6671748677953987E-2</v>
      </c>
      <c r="E61" s="76">
        <f t="shared" si="26"/>
        <v>6.0980661070903185E-2</v>
      </c>
      <c r="F61" s="76">
        <f t="shared" si="26"/>
        <v>0.11449299583726025</v>
      </c>
    </row>
    <row r="62" spans="2:8" x14ac:dyDescent="0.25">
      <c r="B62" s="3" t="s">
        <v>56</v>
      </c>
      <c r="C62" s="76">
        <f t="shared" ref="C62:F62" si="27">C59/C$34</f>
        <v>-1.7615167435938946E-2</v>
      </c>
      <c r="D62" s="76">
        <f t="shared" si="27"/>
        <v>1.3637944392505425E-2</v>
      </c>
      <c r="E62" s="76">
        <f t="shared" si="27"/>
        <v>1.7195339689825541E-2</v>
      </c>
      <c r="F62" s="76">
        <f t="shared" si="27"/>
        <v>-4.3945446728739034E-2</v>
      </c>
    </row>
    <row r="63" spans="2:8" x14ac:dyDescent="0.25">
      <c r="B63" s="3" t="s">
        <v>71</v>
      </c>
      <c r="C63" s="76">
        <f>(C57+C58)/(2*C$34)</f>
        <v>4.1619447996504473E-2</v>
      </c>
      <c r="D63" s="76">
        <f t="shared" ref="D63:F63" si="28">(D57+D58)/(2*D$34)</f>
        <v>3.3490720874206702E-2</v>
      </c>
      <c r="E63" s="76">
        <f t="shared" si="28"/>
        <v>6.9578330915815959E-2</v>
      </c>
      <c r="F63" s="76">
        <f t="shared" si="28"/>
        <v>9.2520272472890727E-2</v>
      </c>
    </row>
    <row r="64" spans="2:8" x14ac:dyDescent="0.25">
      <c r="B64" s="3" t="s">
        <v>99</v>
      </c>
      <c r="C64" s="76">
        <f>C58/(G28+K28)</f>
        <v>4.995079515184514E-2</v>
      </c>
      <c r="D64" s="76">
        <f>D58/(H28+L28)</f>
        <v>2.7359509676322585E-2</v>
      </c>
      <c r="E64" s="76">
        <f>E58/(I28+M28)</f>
        <v>6.1907030240793692E-2</v>
      </c>
      <c r="F64" s="76">
        <f>F58/(J28+N28)</f>
        <v>0.10265088416210548</v>
      </c>
    </row>
    <row r="65" spans="2:6" x14ac:dyDescent="0.25">
      <c r="C65" s="76"/>
      <c r="D65" s="76"/>
      <c r="E65" s="76"/>
      <c r="F65" s="76"/>
    </row>
    <row r="66" spans="2:6" x14ac:dyDescent="0.25">
      <c r="B66" s="42" t="s">
        <v>57</v>
      </c>
      <c r="C66" s="76"/>
      <c r="D66" s="76"/>
      <c r="E66" s="76"/>
      <c r="F66" s="76"/>
    </row>
    <row r="67" spans="2:6" x14ac:dyDescent="0.25">
      <c r="B67" s="3" t="s">
        <v>58</v>
      </c>
      <c r="C67" s="76">
        <f>SUM(H22:J22)</f>
        <v>143972.49472219188</v>
      </c>
      <c r="D67" s="76">
        <f>SUM(G23,I23:J23)</f>
        <v>278771.03374691674</v>
      </c>
      <c r="E67" s="76">
        <f>SUM(G24:H24,J24)</f>
        <v>215789.39324972566</v>
      </c>
      <c r="F67" s="76">
        <f>SUM(G25:I25)</f>
        <v>162437.07628599778</v>
      </c>
    </row>
    <row r="68" spans="2:6" x14ac:dyDescent="0.25">
      <c r="B68" s="3" t="s">
        <v>59</v>
      </c>
      <c r="C68" s="76">
        <f>SUM(G23:G25)</f>
        <v>213354.7457399733</v>
      </c>
      <c r="D68" s="76">
        <f>SUM(H22,H24:H25)</f>
        <v>288107.96060282877</v>
      </c>
      <c r="E68" s="76">
        <f>SUM(I22:I23,I25)</f>
        <v>122007.9866515758</v>
      </c>
      <c r="F68" s="76">
        <f>SUM(J22:J24)</f>
        <v>177499.30501045418</v>
      </c>
    </row>
    <row r="69" spans="2:6" x14ac:dyDescent="0.25">
      <c r="B69" s="3" t="s">
        <v>60</v>
      </c>
      <c r="C69" s="76">
        <f>C67-C68</f>
        <v>-69382.251017781411</v>
      </c>
      <c r="D69" s="76">
        <f t="shared" ref="D69:F69" si="29">D67-D68</f>
        <v>-9336.9268559120246</v>
      </c>
      <c r="E69" s="76">
        <f t="shared" si="29"/>
        <v>93781.406598149857</v>
      </c>
      <c r="F69" s="76">
        <f t="shared" si="29"/>
        <v>-15062.228724456392</v>
      </c>
    </row>
    <row r="70" spans="2:6" x14ac:dyDescent="0.25">
      <c r="B70" s="3" t="s">
        <v>61</v>
      </c>
      <c r="C70" s="76">
        <f>C67/C$34</f>
        <v>1.9325611723622238E-2</v>
      </c>
      <c r="D70" s="76">
        <f t="shared" ref="D70:F70" si="30">D67/D$34</f>
        <v>1.8882741872916563E-2</v>
      </c>
      <c r="E70" s="76">
        <f t="shared" si="30"/>
        <v>5.6116277864959173E-2</v>
      </c>
      <c r="F70" s="76">
        <f t="shared" si="30"/>
        <v>5.2398010413293505E-2</v>
      </c>
    </row>
    <row r="71" spans="2:6" x14ac:dyDescent="0.25">
      <c r="B71" s="3" t="s">
        <v>62</v>
      </c>
      <c r="C71" s="76">
        <f t="shared" ref="C71:F71" si="31">C68/C$34</f>
        <v>2.863887983269987E-2</v>
      </c>
      <c r="D71" s="76">
        <f t="shared" si="31"/>
        <v>1.9515184839952193E-2</v>
      </c>
      <c r="E71" s="76">
        <f t="shared" si="31"/>
        <v>3.1728316102917452E-2</v>
      </c>
      <c r="F71" s="76">
        <f t="shared" si="31"/>
        <v>5.7256696838810676E-2</v>
      </c>
    </row>
    <row r="72" spans="2:6" x14ac:dyDescent="0.25">
      <c r="B72" s="3" t="s">
        <v>63</v>
      </c>
      <c r="C72" s="76">
        <f t="shared" ref="C72:F72" si="32">C69/C$34</f>
        <v>-9.3132681090776319E-3</v>
      </c>
      <c r="D72" s="76">
        <f t="shared" si="32"/>
        <v>-6.3244296703562789E-4</v>
      </c>
      <c r="E72" s="76">
        <f t="shared" si="32"/>
        <v>2.4387961762041718E-2</v>
      </c>
      <c r="F72" s="76">
        <f t="shared" si="32"/>
        <v>-4.8586864255171711E-3</v>
      </c>
    </row>
    <row r="73" spans="2:6" x14ac:dyDescent="0.25">
      <c r="B73" s="3" t="s">
        <v>71</v>
      </c>
      <c r="C73" s="76">
        <f>(C67+C68)/(2*C$34)</f>
        <v>2.3982245778161056E-2</v>
      </c>
      <c r="D73" s="76">
        <f t="shared" ref="D73:F73" si="33">(D67+D68)/(2*D$34)</f>
        <v>1.9198963356434378E-2</v>
      </c>
      <c r="E73" s="76">
        <f t="shared" si="33"/>
        <v>4.3922296983938312E-2</v>
      </c>
      <c r="F73" s="76">
        <f t="shared" si="33"/>
        <v>5.4827353626052087E-2</v>
      </c>
    </row>
    <row r="74" spans="2:6" x14ac:dyDescent="0.25">
      <c r="C74" s="76"/>
      <c r="D74" s="76"/>
      <c r="E74" s="76"/>
      <c r="F74" s="76"/>
    </row>
    <row r="75" spans="2:6" x14ac:dyDescent="0.25">
      <c r="B75" s="42" t="s">
        <v>64</v>
      </c>
      <c r="C75" s="76"/>
      <c r="D75" s="76"/>
      <c r="E75" s="76"/>
      <c r="F75" s="76"/>
    </row>
    <row r="76" spans="2:6" x14ac:dyDescent="0.25">
      <c r="B76" s="3" t="s">
        <v>65</v>
      </c>
      <c r="C76" s="76">
        <f>C57-C67</f>
        <v>100470.26984460175</v>
      </c>
      <c r="D76" s="76">
        <f>D57-D67</f>
        <v>316331.88525185053</v>
      </c>
      <c r="E76" s="76">
        <f>E57-E67</f>
        <v>84828.40273887178</v>
      </c>
      <c r="F76" s="76">
        <f>F57-F67</f>
        <v>56264.693608374422</v>
      </c>
    </row>
    <row r="77" spans="2:6" x14ac:dyDescent="0.25">
      <c r="B77" s="3" t="s">
        <v>66</v>
      </c>
      <c r="C77" s="76">
        <f>C58-C68</f>
        <v>162317.99679441555</v>
      </c>
      <c r="D77" s="76">
        <f>D58-D68</f>
        <v>105654.29070748691</v>
      </c>
      <c r="E77" s="76">
        <f t="shared" ref="E77:F77" si="34">E58-E68</f>
        <v>112486.89349930923</v>
      </c>
      <c r="F77" s="76">
        <f t="shared" si="34"/>
        <v>177436.07044248734</v>
      </c>
    </row>
    <row r="78" spans="2:6" x14ac:dyDescent="0.25">
      <c r="B78" s="3" t="s">
        <v>67</v>
      </c>
      <c r="C78" s="76">
        <f>C76-C77</f>
        <v>-61847.726949813805</v>
      </c>
      <c r="D78" s="76">
        <f t="shared" ref="D78:F78" si="35">D76-D77</f>
        <v>210677.59454436362</v>
      </c>
      <c r="E78" s="76">
        <f t="shared" si="35"/>
        <v>-27658.490760437446</v>
      </c>
      <c r="F78" s="76">
        <f t="shared" si="35"/>
        <v>-121171.37683411292</v>
      </c>
    </row>
    <row r="79" spans="2:6" x14ac:dyDescent="0.25">
      <c r="B79" s="3" t="s">
        <v>68</v>
      </c>
      <c r="C79" s="76">
        <f>C76/C$34</f>
        <v>1.3486252554912767E-2</v>
      </c>
      <c r="D79" s="76">
        <f t="shared" ref="D79:F79" si="36">D76/D$34</f>
        <v>2.142695119754285E-2</v>
      </c>
      <c r="E79" s="76">
        <f t="shared" si="36"/>
        <v>2.2059722895769549E-2</v>
      </c>
      <c r="F79" s="76">
        <f t="shared" si="36"/>
        <v>1.8149538695227705E-2</v>
      </c>
    </row>
    <row r="80" spans="2:6" x14ac:dyDescent="0.25">
      <c r="B80" s="3" t="s">
        <v>69</v>
      </c>
      <c r="C80" s="76">
        <f t="shared" ref="C80:F80" si="37">C77/C$34</f>
        <v>2.1788151881774079E-2</v>
      </c>
      <c r="D80" s="76">
        <f t="shared" si="37"/>
        <v>7.156563838001795E-3</v>
      </c>
      <c r="E80" s="76">
        <f t="shared" si="37"/>
        <v>2.9252344967985729E-2</v>
      </c>
      <c r="F80" s="76">
        <f t="shared" si="37"/>
        <v>5.7236298998449571E-2</v>
      </c>
    </row>
    <row r="81" spans="2:6" x14ac:dyDescent="0.25">
      <c r="B81" s="3" t="s">
        <v>70</v>
      </c>
      <c r="C81" s="76">
        <f t="shared" ref="C81:F81" si="38">C78/C$34</f>
        <v>-8.3018993268613121E-3</v>
      </c>
      <c r="D81" s="76">
        <f t="shared" si="38"/>
        <v>1.4270387359541052E-2</v>
      </c>
      <c r="E81" s="76">
        <f t="shared" si="38"/>
        <v>-7.1926220722161784E-3</v>
      </c>
      <c r="F81" s="76">
        <f t="shared" si="38"/>
        <v>-3.9086760303221862E-2</v>
      </c>
    </row>
    <row r="82" spans="2:6" x14ac:dyDescent="0.25">
      <c r="B82" s="3" t="s">
        <v>71</v>
      </c>
      <c r="C82" s="76">
        <f>(C76+C77)/(2*C$34)</f>
        <v>1.7637202218343421E-2</v>
      </c>
      <c r="D82" s="76">
        <f t="shared" ref="D82:F82" si="39">(D76+D77)/(2*D$34)</f>
        <v>1.4291757517772322E-2</v>
      </c>
      <c r="E82" s="76">
        <f t="shared" si="39"/>
        <v>2.5656033931877639E-2</v>
      </c>
      <c r="F82" s="76">
        <f t="shared" si="39"/>
        <v>3.769291884683864E-2</v>
      </c>
    </row>
    <row r="83" spans="2:6" x14ac:dyDescent="0.25">
      <c r="C83" s="76"/>
      <c r="D83" s="76"/>
      <c r="E83" s="76"/>
      <c r="F83" s="76"/>
    </row>
  </sheetData>
  <mergeCells count="10">
    <mergeCell ref="C6:F6"/>
    <mergeCell ref="G6:J6"/>
    <mergeCell ref="K6:N6"/>
    <mergeCell ref="A8:A11"/>
    <mergeCell ref="C5:N5"/>
    <mergeCell ref="C19:N19"/>
    <mergeCell ref="C20:F20"/>
    <mergeCell ref="G20:J20"/>
    <mergeCell ref="K20:N20"/>
    <mergeCell ref="A22:A2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4"/>
  <sheetViews>
    <sheetView topLeftCell="A31" workbookViewId="0">
      <selection activeCell="B55" sqref="B55"/>
    </sheetView>
  </sheetViews>
  <sheetFormatPr defaultRowHeight="15" x14ac:dyDescent="0.25"/>
  <cols>
    <col min="1" max="1" width="24.5703125" bestFit="1" customWidth="1"/>
    <col min="2" max="2" width="29" bestFit="1" customWidth="1"/>
    <col min="3" max="14" width="14.7109375" customWidth="1"/>
    <col min="15" max="15" width="15.28515625" bestFit="1" customWidth="1"/>
    <col min="16" max="16" width="15.140625" bestFit="1" customWidth="1"/>
    <col min="17" max="17" width="16.85546875" bestFit="1" customWidth="1"/>
  </cols>
  <sheetData>
    <row r="1" spans="1:21" ht="18.75" x14ac:dyDescent="0.3">
      <c r="A1" s="6" t="s">
        <v>42</v>
      </c>
    </row>
    <row r="2" spans="1:21" ht="18.75" x14ac:dyDescent="0.3">
      <c r="A2" s="6"/>
    </row>
    <row r="3" spans="1:21" x14ac:dyDescent="0.25">
      <c r="A3" s="59" t="s">
        <v>80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5"/>
    </row>
    <row r="4" spans="1:21" x14ac:dyDescent="0.25">
      <c r="A4" s="14"/>
      <c r="B4" s="2"/>
      <c r="C4" s="2">
        <f>SUM(C9:C11)/SUM(C8:C11)</f>
        <v>0.12337899272377886</v>
      </c>
      <c r="D4" s="2">
        <f>SUM(D8,D10:D11)/SUM(D8:D11)</f>
        <v>0.11221239389721391</v>
      </c>
      <c r="E4" s="2">
        <f>SUM(E8:E9,E11)/SUM(E8:E11)</f>
        <v>0.10268719553203795</v>
      </c>
      <c r="F4" s="2">
        <f>SUM(F8:F10)/SUM(F8:F11)</f>
        <v>0.21214124372961476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13"/>
    </row>
    <row r="5" spans="1:21" x14ac:dyDescent="0.25">
      <c r="A5" s="14"/>
      <c r="B5" s="2"/>
      <c r="C5" s="152" t="s">
        <v>11</v>
      </c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2"/>
      <c r="P5" s="7" t="s">
        <v>29</v>
      </c>
      <c r="Q5" s="7" t="s">
        <v>39</v>
      </c>
      <c r="R5" s="13"/>
    </row>
    <row r="6" spans="1:21" x14ac:dyDescent="0.25">
      <c r="A6" s="14"/>
      <c r="B6" s="2"/>
      <c r="C6" s="151" t="s">
        <v>1</v>
      </c>
      <c r="D6" s="152"/>
      <c r="E6" s="152"/>
      <c r="F6" s="153"/>
      <c r="G6" s="152" t="s">
        <v>5</v>
      </c>
      <c r="H6" s="152"/>
      <c r="I6" s="152"/>
      <c r="J6" s="153"/>
      <c r="K6" s="154" t="s">
        <v>3</v>
      </c>
      <c r="L6" s="152"/>
      <c r="M6" s="152"/>
      <c r="N6" s="155"/>
      <c r="O6" s="2"/>
      <c r="P6" s="2"/>
      <c r="Q6" s="2"/>
      <c r="R6" s="13"/>
    </row>
    <row r="7" spans="1:21" ht="15.75" thickBot="1" x14ac:dyDescent="0.3">
      <c r="A7" s="14"/>
      <c r="B7" s="2"/>
      <c r="C7" s="15" t="s">
        <v>7</v>
      </c>
      <c r="D7" s="16" t="s">
        <v>8</v>
      </c>
      <c r="E7" s="16" t="s">
        <v>9</v>
      </c>
      <c r="F7" s="17" t="s">
        <v>0</v>
      </c>
      <c r="G7" s="16" t="s">
        <v>7</v>
      </c>
      <c r="H7" s="16" t="s">
        <v>8</v>
      </c>
      <c r="I7" s="16" t="s">
        <v>9</v>
      </c>
      <c r="J7" s="17" t="s">
        <v>0</v>
      </c>
      <c r="K7" s="16" t="s">
        <v>7</v>
      </c>
      <c r="L7" s="16" t="s">
        <v>8</v>
      </c>
      <c r="M7" s="16" t="s">
        <v>9</v>
      </c>
      <c r="N7" s="18" t="s">
        <v>0</v>
      </c>
      <c r="O7" s="2"/>
      <c r="P7" s="2"/>
      <c r="Q7" s="2"/>
      <c r="R7" s="13"/>
    </row>
    <row r="8" spans="1:21" ht="15.75" thickTop="1" x14ac:dyDescent="0.25">
      <c r="A8" s="150" t="s">
        <v>10</v>
      </c>
      <c r="B8" s="7" t="s">
        <v>7</v>
      </c>
      <c r="C8" s="61">
        <v>10306379.359677</v>
      </c>
      <c r="D8" s="62">
        <v>549324.80851600098</v>
      </c>
      <c r="E8" s="62">
        <v>391697.60675600503</v>
      </c>
      <c r="F8" s="63">
        <v>336565.88160000002</v>
      </c>
      <c r="G8" s="62">
        <v>12550153.8391289</v>
      </c>
      <c r="H8" s="62">
        <v>171732.12942000001</v>
      </c>
      <c r="I8" s="62">
        <v>85295.509171999802</v>
      </c>
      <c r="J8" s="63">
        <v>80719.625308999995</v>
      </c>
      <c r="K8" s="62">
        <v>2220513.0230640001</v>
      </c>
      <c r="L8" s="62">
        <v>98789.901301000005</v>
      </c>
      <c r="M8" s="62">
        <v>73958.747298999995</v>
      </c>
      <c r="N8" s="64">
        <v>52989.8994649999</v>
      </c>
      <c r="O8" s="62"/>
      <c r="P8" s="62">
        <f>SUM(C8:N8)</f>
        <v>26918120.330707908</v>
      </c>
      <c r="Q8" s="62">
        <f>C15</f>
        <v>26918120.457770903</v>
      </c>
      <c r="R8" s="115">
        <f>Q8-P8</f>
        <v>0.12706299498677254</v>
      </c>
      <c r="U8" s="113">
        <f>P8-C14</f>
        <v>-0.25412598997354507</v>
      </c>
    </row>
    <row r="9" spans="1:21" x14ac:dyDescent="0.25">
      <c r="A9" s="150"/>
      <c r="B9" s="7" t="s">
        <v>8</v>
      </c>
      <c r="C9" s="61">
        <v>570575.350840998</v>
      </c>
      <c r="D9" s="62">
        <v>21462237.441698901</v>
      </c>
      <c r="E9" s="62">
        <v>1137640.98738216</v>
      </c>
      <c r="F9" s="63">
        <v>1259937.7789120099</v>
      </c>
      <c r="G9" s="62">
        <v>213327.07395300001</v>
      </c>
      <c r="H9" s="62">
        <v>19013617.1900438</v>
      </c>
      <c r="I9" s="62">
        <v>276272.92291099997</v>
      </c>
      <c r="J9" s="63">
        <v>392143.00894500001</v>
      </c>
      <c r="K9" s="62">
        <v>147379.590591999</v>
      </c>
      <c r="L9" s="62">
        <v>4601199.1539489999</v>
      </c>
      <c r="M9" s="62">
        <v>241180.21364900001</v>
      </c>
      <c r="N9" s="64">
        <v>193140.603785999</v>
      </c>
      <c r="O9" s="62"/>
      <c r="P9" s="62">
        <f t="shared" ref="P9:P12" si="0">SUM(C9:N9)</f>
        <v>49508651.31666287</v>
      </c>
      <c r="Q9" s="62">
        <f>D15</f>
        <v>49508651.362665877</v>
      </c>
      <c r="R9" s="115">
        <f t="shared" ref="R9:R12" si="1">Q9-P9</f>
        <v>4.6003006398677826E-2</v>
      </c>
      <c r="U9" s="113">
        <f>P9-D14</f>
        <v>-9.2006005346775055E-2</v>
      </c>
    </row>
    <row r="10" spans="1:21" x14ac:dyDescent="0.25">
      <c r="A10" s="150"/>
      <c r="B10" s="7" t="s">
        <v>9</v>
      </c>
      <c r="C10" s="61">
        <v>503038.53863699699</v>
      </c>
      <c r="D10" s="62">
        <v>1200926.52099107</v>
      </c>
      <c r="E10" s="62">
        <v>22731672.0397502</v>
      </c>
      <c r="F10" s="63">
        <v>785916.22796800605</v>
      </c>
      <c r="G10" s="62">
        <v>243474.31797499899</v>
      </c>
      <c r="H10" s="62">
        <v>490034.86566399998</v>
      </c>
      <c r="I10" s="62">
        <v>10663687.469784999</v>
      </c>
      <c r="J10" s="63">
        <v>223563.40185799901</v>
      </c>
      <c r="K10" s="62">
        <v>181489.85263599901</v>
      </c>
      <c r="L10" s="62">
        <v>228543.238680999</v>
      </c>
      <c r="M10" s="62">
        <v>5782164.3043469395</v>
      </c>
      <c r="N10" s="64">
        <v>202678.01540999999</v>
      </c>
      <c r="O10" s="62"/>
      <c r="P10" s="62">
        <f t="shared" si="0"/>
        <v>43237188.793702215</v>
      </c>
      <c r="Q10" s="62">
        <f>E15</f>
        <v>43237188.820529789</v>
      </c>
      <c r="R10" s="115">
        <f t="shared" si="1"/>
        <v>2.6827573776245117E-2</v>
      </c>
      <c r="U10" s="113">
        <f>P10-E14</f>
        <v>-5.3655147552490234E-2</v>
      </c>
    </row>
    <row r="11" spans="1:21" x14ac:dyDescent="0.25">
      <c r="A11" s="150"/>
      <c r="B11" s="7" t="s">
        <v>0</v>
      </c>
      <c r="C11" s="61">
        <v>376945.352738999</v>
      </c>
      <c r="D11" s="62">
        <v>962479.76199300401</v>
      </c>
      <c r="E11" s="62">
        <v>1072041.481899</v>
      </c>
      <c r="F11" s="63">
        <v>8847927.6224289704</v>
      </c>
      <c r="G11" s="62">
        <v>137323.85917799899</v>
      </c>
      <c r="H11" s="62">
        <v>347433.76829099999</v>
      </c>
      <c r="I11" s="62">
        <v>171793.457495999</v>
      </c>
      <c r="J11" s="63">
        <v>7526875.9470910002</v>
      </c>
      <c r="K11" s="62">
        <v>25431.4676379999</v>
      </c>
      <c r="L11" s="62">
        <v>48846.0259899999</v>
      </c>
      <c r="M11" s="62">
        <v>86951.685768999901</v>
      </c>
      <c r="N11" s="64">
        <v>2499873.0654919902</v>
      </c>
      <c r="O11" s="62"/>
      <c r="P11" s="62">
        <f t="shared" si="0"/>
        <v>22103923.496004958</v>
      </c>
      <c r="Q11" s="62">
        <f>F15</f>
        <v>22103923.561527923</v>
      </c>
      <c r="R11" s="115">
        <f t="shared" si="1"/>
        <v>6.5522965043783188E-2</v>
      </c>
      <c r="U11" s="113">
        <f>P11-F14</f>
        <v>-0.13104593008756638</v>
      </c>
    </row>
    <row r="12" spans="1:21" x14ac:dyDescent="0.25">
      <c r="A12" s="57"/>
      <c r="B12" s="7" t="s">
        <v>2</v>
      </c>
      <c r="C12" s="65">
        <v>15161181.982939901</v>
      </c>
      <c r="D12" s="66">
        <v>25333682.875469901</v>
      </c>
      <c r="E12" s="66">
        <v>17904136.731570002</v>
      </c>
      <c r="F12" s="67">
        <v>10873576.1161419</v>
      </c>
      <c r="G12" s="66">
        <v>0</v>
      </c>
      <c r="H12" s="66">
        <v>0</v>
      </c>
      <c r="I12" s="66">
        <v>0</v>
      </c>
      <c r="J12" s="67">
        <v>0</v>
      </c>
      <c r="K12" s="66">
        <v>0</v>
      </c>
      <c r="L12" s="66">
        <v>0</v>
      </c>
      <c r="M12" s="66">
        <v>0</v>
      </c>
      <c r="N12" s="68">
        <v>0</v>
      </c>
      <c r="O12" s="62"/>
      <c r="P12" s="62">
        <f t="shared" si="0"/>
        <v>69272577.706121698</v>
      </c>
      <c r="Q12" s="62">
        <f>SUM(G14:N14)</f>
        <v>69272577.175288633</v>
      </c>
      <c r="R12" s="115">
        <f t="shared" si="1"/>
        <v>-0.53083306550979614</v>
      </c>
    </row>
    <row r="13" spans="1:21" x14ac:dyDescent="0.25">
      <c r="A13" s="14"/>
      <c r="B13" s="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71">
        <f>SUM(P8:P12)</f>
        <v>211040461.64319968</v>
      </c>
      <c r="Q13" s="117">
        <f>SUM(Q8:Q12)</f>
        <v>211040461.37778312</v>
      </c>
      <c r="R13" s="13"/>
    </row>
    <row r="14" spans="1:21" x14ac:dyDescent="0.25">
      <c r="A14" s="14"/>
      <c r="B14" s="9" t="s">
        <v>77</v>
      </c>
      <c r="C14" s="62">
        <f>SUM(C8:C12)</f>
        <v>26918120.584833898</v>
      </c>
      <c r="D14" s="62">
        <f t="shared" ref="D14:N14" si="2">SUM(D8:D12)</f>
        <v>49508651.408668876</v>
      </c>
      <c r="E14" s="62">
        <f t="shared" si="2"/>
        <v>43237188.847357363</v>
      </c>
      <c r="F14" s="62">
        <f t="shared" si="2"/>
        <v>22103923.627050888</v>
      </c>
      <c r="G14" s="62">
        <f t="shared" si="2"/>
        <v>13144279.0902349</v>
      </c>
      <c r="H14" s="62">
        <f t="shared" si="2"/>
        <v>20022817.953418802</v>
      </c>
      <c r="I14" s="62">
        <f t="shared" si="2"/>
        <v>11197049.359363997</v>
      </c>
      <c r="J14" s="62">
        <f t="shared" si="2"/>
        <v>8223301.9832029995</v>
      </c>
      <c r="K14" s="62">
        <f t="shared" si="2"/>
        <v>2574813.9339299984</v>
      </c>
      <c r="L14" s="62">
        <f t="shared" si="2"/>
        <v>4977378.319920999</v>
      </c>
      <c r="M14" s="62">
        <f t="shared" si="2"/>
        <v>6184254.9510639394</v>
      </c>
      <c r="N14" s="62">
        <f t="shared" si="2"/>
        <v>2948681.5841529891</v>
      </c>
      <c r="O14" s="71">
        <f>SUM(C14:N14)</f>
        <v>211040461.64319962</v>
      </c>
      <c r="P14" s="62">
        <f>P13-O14</f>
        <v>0</v>
      </c>
      <c r="Q14" s="2"/>
      <c r="R14" s="13"/>
    </row>
    <row r="15" spans="1:21" x14ac:dyDescent="0.25">
      <c r="A15" s="14"/>
      <c r="B15" s="9" t="s">
        <v>78</v>
      </c>
      <c r="C15" s="62">
        <f>(C14+P8)/2</f>
        <v>26918120.457770903</v>
      </c>
      <c r="D15" s="62">
        <f>(D14+P9)/2</f>
        <v>49508651.362665877</v>
      </c>
      <c r="E15" s="62">
        <f>(E14+P10)/2</f>
        <v>43237188.820529789</v>
      </c>
      <c r="F15" s="62">
        <f>(F14+P11)/2</f>
        <v>22103923.561527923</v>
      </c>
      <c r="G15" s="62">
        <f>G14</f>
        <v>13144279.0902349</v>
      </c>
      <c r="H15" s="62">
        <f t="shared" ref="H15:N15" si="3">H14</f>
        <v>20022817.953418802</v>
      </c>
      <c r="I15" s="62">
        <f t="shared" si="3"/>
        <v>11197049.359363997</v>
      </c>
      <c r="J15" s="62">
        <f t="shared" si="3"/>
        <v>8223301.9832029995</v>
      </c>
      <c r="K15" s="62">
        <f t="shared" si="3"/>
        <v>2574813.9339299984</v>
      </c>
      <c r="L15" s="62">
        <f t="shared" si="3"/>
        <v>4977378.319920999</v>
      </c>
      <c r="M15" s="62">
        <f t="shared" si="3"/>
        <v>6184254.9510639394</v>
      </c>
      <c r="N15" s="62">
        <f t="shared" si="3"/>
        <v>2948681.5841529891</v>
      </c>
      <c r="O15" s="71">
        <f>SUM(C15:N15)</f>
        <v>211040461.37778312</v>
      </c>
      <c r="P15" s="62"/>
      <c r="Q15" s="56">
        <f>Q13-O15</f>
        <v>0</v>
      </c>
      <c r="R15" s="13"/>
    </row>
    <row r="16" spans="1:21" x14ac:dyDescent="0.25">
      <c r="A16" s="19"/>
      <c r="B16" s="58"/>
      <c r="C16" s="66">
        <f>C15-C14</f>
        <v>-0.12706299498677254</v>
      </c>
      <c r="D16" s="66">
        <f t="shared" ref="D16:N16" si="4">D15-D14</f>
        <v>-4.6002998948097229E-2</v>
      </c>
      <c r="E16" s="66">
        <f t="shared" si="4"/>
        <v>-2.6827573776245117E-2</v>
      </c>
      <c r="F16" s="66">
        <f t="shared" si="4"/>
        <v>-6.5522965043783188E-2</v>
      </c>
      <c r="G16" s="66">
        <f t="shared" si="4"/>
        <v>0</v>
      </c>
      <c r="H16" s="66">
        <f t="shared" si="4"/>
        <v>0</v>
      </c>
      <c r="I16" s="66">
        <f t="shared" si="4"/>
        <v>0</v>
      </c>
      <c r="J16" s="66">
        <f t="shared" si="4"/>
        <v>0</v>
      </c>
      <c r="K16" s="66">
        <f t="shared" si="4"/>
        <v>0</v>
      </c>
      <c r="L16" s="66">
        <f t="shared" si="4"/>
        <v>0</v>
      </c>
      <c r="M16" s="66">
        <f t="shared" si="4"/>
        <v>0</v>
      </c>
      <c r="N16" s="66">
        <f t="shared" si="4"/>
        <v>0</v>
      </c>
      <c r="O16" s="66"/>
      <c r="P16" s="66"/>
      <c r="Q16" s="20"/>
      <c r="R16" s="21"/>
    </row>
    <row r="17" spans="1:18" x14ac:dyDescent="0.25"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</row>
    <row r="18" spans="1:18" x14ac:dyDescent="0.25">
      <c r="A18" s="59" t="s">
        <v>81</v>
      </c>
      <c r="B18" s="54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54"/>
      <c r="R18" s="55"/>
    </row>
    <row r="19" spans="1:18" x14ac:dyDescent="0.25">
      <c r="A19" s="14"/>
      <c r="B19" s="2"/>
      <c r="C19" s="145" t="s">
        <v>11</v>
      </c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62"/>
      <c r="P19" s="71" t="s">
        <v>75</v>
      </c>
      <c r="Q19" s="7" t="s">
        <v>39</v>
      </c>
      <c r="R19" s="13"/>
    </row>
    <row r="20" spans="1:18" x14ac:dyDescent="0.25">
      <c r="A20" s="14"/>
      <c r="B20" s="2"/>
      <c r="C20" s="146" t="s">
        <v>1</v>
      </c>
      <c r="D20" s="145"/>
      <c r="E20" s="145"/>
      <c r="F20" s="147"/>
      <c r="G20" s="145" t="s">
        <v>5</v>
      </c>
      <c r="H20" s="145"/>
      <c r="I20" s="145"/>
      <c r="J20" s="147"/>
      <c r="K20" s="148" t="s">
        <v>3</v>
      </c>
      <c r="L20" s="145"/>
      <c r="M20" s="145"/>
      <c r="N20" s="149"/>
      <c r="O20" s="62"/>
      <c r="P20" s="62"/>
      <c r="Q20" s="2"/>
      <c r="R20" s="13"/>
    </row>
    <row r="21" spans="1:18" ht="15.75" thickBot="1" x14ac:dyDescent="0.3">
      <c r="A21" s="14"/>
      <c r="B21" s="2"/>
      <c r="C21" s="72" t="s">
        <v>7</v>
      </c>
      <c r="D21" s="73" t="s">
        <v>8</v>
      </c>
      <c r="E21" s="73" t="s">
        <v>9</v>
      </c>
      <c r="F21" s="74" t="s">
        <v>0</v>
      </c>
      <c r="G21" s="73" t="s">
        <v>7</v>
      </c>
      <c r="H21" s="73" t="s">
        <v>8</v>
      </c>
      <c r="I21" s="73" t="s">
        <v>9</v>
      </c>
      <c r="J21" s="74" t="s">
        <v>0</v>
      </c>
      <c r="K21" s="73" t="s">
        <v>7</v>
      </c>
      <c r="L21" s="73" t="s">
        <v>8</v>
      </c>
      <c r="M21" s="73" t="s">
        <v>9</v>
      </c>
      <c r="N21" s="75" t="s">
        <v>0</v>
      </c>
      <c r="O21" s="62"/>
      <c r="P21" s="62"/>
      <c r="Q21" s="2"/>
      <c r="R21" s="13"/>
    </row>
    <row r="22" spans="1:18" ht="15.75" thickTop="1" x14ac:dyDescent="0.25">
      <c r="A22" s="150" t="s">
        <v>10</v>
      </c>
      <c r="B22" s="7" t="s">
        <v>7</v>
      </c>
      <c r="C22" s="61">
        <v>10306379.447125269</v>
      </c>
      <c r="D22" s="62">
        <v>549324.81794091722</v>
      </c>
      <c r="E22" s="62">
        <v>391697.61347325478</v>
      </c>
      <c r="F22" s="63">
        <v>336565.88583077438</v>
      </c>
      <c r="G22" s="62">
        <v>12550153.846645599</v>
      </c>
      <c r="H22" s="62">
        <v>171732.13184028852</v>
      </c>
      <c r="I22" s="62">
        <v>85295.510448614252</v>
      </c>
      <c r="J22" s="63">
        <v>80719.625998742253</v>
      </c>
      <c r="K22" s="62">
        <v>2220513.0274413335</v>
      </c>
      <c r="L22" s="62">
        <v>98789.902683885448</v>
      </c>
      <c r="M22" s="62">
        <v>73958.748400755969</v>
      </c>
      <c r="N22" s="64">
        <v>52989.899935671303</v>
      </c>
      <c r="O22" s="62"/>
      <c r="P22" s="62">
        <f>SUM(C22:N22)</f>
        <v>26918120.457765106</v>
      </c>
      <c r="Q22" s="56">
        <f>Q8</f>
        <v>26918120.457770903</v>
      </c>
      <c r="R22" s="115">
        <f>Q22-P22</f>
        <v>5.7965517044067383E-6</v>
      </c>
    </row>
    <row r="23" spans="1:18" x14ac:dyDescent="0.25">
      <c r="A23" s="150"/>
      <c r="B23" s="7" t="s">
        <v>8</v>
      </c>
      <c r="C23" s="61">
        <v>570575.34752267471</v>
      </c>
      <c r="D23" s="62">
        <v>21462237.503009155</v>
      </c>
      <c r="E23" s="62">
        <v>1137640.990622676</v>
      </c>
      <c r="F23" s="63">
        <v>1259937.7767320678</v>
      </c>
      <c r="G23" s="62">
        <v>213327.07103005986</v>
      </c>
      <c r="H23" s="62">
        <v>19013617.186103728</v>
      </c>
      <c r="I23" s="62">
        <v>276272.92309509229</v>
      </c>
      <c r="J23" s="63">
        <v>392143.0066879412</v>
      </c>
      <c r="K23" s="62">
        <v>147379.58877491162</v>
      </c>
      <c r="L23" s="62">
        <v>4601199.1525577335</v>
      </c>
      <c r="M23" s="62">
        <v>241180.21379281138</v>
      </c>
      <c r="N23" s="64">
        <v>193140.60273949904</v>
      </c>
      <c r="O23" s="62"/>
      <c r="P23" s="62">
        <f t="shared" ref="P23:P26" si="5">SUM(C23:N23)</f>
        <v>49508651.36266835</v>
      </c>
      <c r="Q23" s="56">
        <f t="shared" ref="Q23:Q26" si="6">Q9</f>
        <v>49508651.362665877</v>
      </c>
      <c r="R23" s="115">
        <f t="shared" ref="R23:R26" si="7">Q23-P23</f>
        <v>-2.4735927581787109E-6</v>
      </c>
    </row>
    <row r="24" spans="1:18" x14ac:dyDescent="0.25">
      <c r="A24" s="150"/>
      <c r="B24" s="7" t="s">
        <v>9</v>
      </c>
      <c r="C24" s="61">
        <v>503038.53525201185</v>
      </c>
      <c r="D24" s="62">
        <v>1200926.5233248663</v>
      </c>
      <c r="E24" s="62">
        <v>22731672.083738822</v>
      </c>
      <c r="F24" s="63">
        <v>785916.22589041572</v>
      </c>
      <c r="G24" s="62">
        <v>243474.3144166189</v>
      </c>
      <c r="H24" s="62">
        <v>490034.86511489033</v>
      </c>
      <c r="I24" s="62">
        <v>10663687.467151223</v>
      </c>
      <c r="J24" s="63">
        <v>223563.40036704767</v>
      </c>
      <c r="K24" s="62">
        <v>181489.85023259622</v>
      </c>
      <c r="L24" s="62">
        <v>228543.23840315937</v>
      </c>
      <c r="M24" s="62">
        <v>5782164.3025137261</v>
      </c>
      <c r="N24" s="64">
        <v>202678.01412671167</v>
      </c>
      <c r="O24" s="62"/>
      <c r="P24" s="62">
        <f t="shared" si="5"/>
        <v>43237188.820532084</v>
      </c>
      <c r="Q24" s="56">
        <f t="shared" si="6"/>
        <v>43237188.820529789</v>
      </c>
      <c r="R24" s="115">
        <f t="shared" si="7"/>
        <v>-2.2947788238525391E-6</v>
      </c>
    </row>
    <row r="25" spans="1:18" x14ac:dyDescent="0.25">
      <c r="A25" s="150"/>
      <c r="B25" s="7" t="s">
        <v>0</v>
      </c>
      <c r="C25" s="61">
        <v>376945.35286952276</v>
      </c>
      <c r="D25" s="62">
        <v>962479.77067329502</v>
      </c>
      <c r="E25" s="62">
        <v>1072041.4915585967</v>
      </c>
      <c r="F25" s="63">
        <v>8847927.661641378</v>
      </c>
      <c r="G25" s="62">
        <v>137323.85814262272</v>
      </c>
      <c r="H25" s="62">
        <v>347433.77035989577</v>
      </c>
      <c r="I25" s="62">
        <v>171793.45866906634</v>
      </c>
      <c r="J25" s="63">
        <v>7526875.9501492688</v>
      </c>
      <c r="K25" s="62">
        <v>25431.467481156804</v>
      </c>
      <c r="L25" s="62">
        <v>48846.02627622032</v>
      </c>
      <c r="M25" s="62">
        <v>86951.686356645325</v>
      </c>
      <c r="N25" s="64">
        <v>2499873.0673511075</v>
      </c>
      <c r="O25" s="62"/>
      <c r="P25" s="62">
        <f t="shared" si="5"/>
        <v>22103923.561528772</v>
      </c>
      <c r="Q25" s="56">
        <f t="shared" si="6"/>
        <v>22103923.561527923</v>
      </c>
      <c r="R25" s="115">
        <f t="shared" si="7"/>
        <v>-8.4936618804931641E-7</v>
      </c>
    </row>
    <row r="26" spans="1:18" x14ac:dyDescent="0.25">
      <c r="A26" s="57"/>
      <c r="B26" s="7" t="s">
        <v>2</v>
      </c>
      <c r="C26" s="65">
        <v>15161181.775001423</v>
      </c>
      <c r="D26" s="66">
        <v>25333682.747717638</v>
      </c>
      <c r="E26" s="66">
        <v>17904136.641136434</v>
      </c>
      <c r="F26" s="67">
        <v>10873576.011433288</v>
      </c>
      <c r="G26" s="66">
        <v>0</v>
      </c>
      <c r="H26" s="66">
        <v>0</v>
      </c>
      <c r="I26" s="66">
        <v>0</v>
      </c>
      <c r="J26" s="67">
        <v>0</v>
      </c>
      <c r="K26" s="66">
        <v>0</v>
      </c>
      <c r="L26" s="66">
        <v>0</v>
      </c>
      <c r="M26" s="66">
        <v>0</v>
      </c>
      <c r="N26" s="68">
        <v>0</v>
      </c>
      <c r="O26" s="62"/>
      <c r="P26" s="62">
        <f t="shared" si="5"/>
        <v>69272577.175288782</v>
      </c>
      <c r="Q26" s="56">
        <f t="shared" si="6"/>
        <v>69272577.175288633</v>
      </c>
      <c r="R26" s="115">
        <f t="shared" si="7"/>
        <v>-1.4901161193847656E-7</v>
      </c>
    </row>
    <row r="27" spans="1:18" x14ac:dyDescent="0.25">
      <c r="A27" s="14"/>
      <c r="B27" s="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71">
        <f>SUM(P22:P26)</f>
        <v>211040461.37778312</v>
      </c>
      <c r="Q27" s="71">
        <f>SUM(Q22:Q26)</f>
        <v>211040461.37778312</v>
      </c>
      <c r="R27" s="13"/>
    </row>
    <row r="28" spans="1:18" x14ac:dyDescent="0.25">
      <c r="A28" s="14"/>
      <c r="B28" s="9" t="s">
        <v>79</v>
      </c>
      <c r="C28" s="62">
        <f>SUM(C22:C26)</f>
        <v>26918120.457770899</v>
      </c>
      <c r="D28" s="62">
        <f t="shared" ref="D28:N28" si="8">SUM(D22:D26)</f>
        <v>49508651.362665869</v>
      </c>
      <c r="E28" s="62">
        <f t="shared" si="8"/>
        <v>43237188.820529789</v>
      </c>
      <c r="F28" s="62">
        <f t="shared" si="8"/>
        <v>22103923.561527923</v>
      </c>
      <c r="G28" s="62">
        <f t="shared" si="8"/>
        <v>13144279.0902349</v>
      </c>
      <c r="H28" s="62">
        <f t="shared" si="8"/>
        <v>20022817.953418802</v>
      </c>
      <c r="I28" s="62">
        <f t="shared" si="8"/>
        <v>11197049.359363995</v>
      </c>
      <c r="J28" s="62">
        <f t="shared" si="8"/>
        <v>8223301.9832029995</v>
      </c>
      <c r="K28" s="62">
        <f t="shared" si="8"/>
        <v>2574813.933929998</v>
      </c>
      <c r="L28" s="62">
        <f t="shared" si="8"/>
        <v>4977378.319920999</v>
      </c>
      <c r="M28" s="62">
        <f t="shared" si="8"/>
        <v>6184254.9510639384</v>
      </c>
      <c r="N28" s="62">
        <f t="shared" si="8"/>
        <v>2948681.5841529896</v>
      </c>
      <c r="O28" s="71">
        <f>SUM(C28:N28)</f>
        <v>211040461.37778312</v>
      </c>
      <c r="P28" s="62">
        <f>P27-O28</f>
        <v>0</v>
      </c>
      <c r="Q28" s="2"/>
      <c r="R28" s="13"/>
    </row>
    <row r="29" spans="1:18" x14ac:dyDescent="0.25">
      <c r="A29" s="14"/>
      <c r="B29" s="7" t="s">
        <v>78</v>
      </c>
      <c r="C29" s="116">
        <f>C15</f>
        <v>26918120.457770903</v>
      </c>
      <c r="D29" s="116">
        <f t="shared" ref="D29:N29" si="9">D15</f>
        <v>49508651.362665877</v>
      </c>
      <c r="E29" s="116">
        <f t="shared" si="9"/>
        <v>43237188.820529789</v>
      </c>
      <c r="F29" s="116">
        <f t="shared" si="9"/>
        <v>22103923.561527923</v>
      </c>
      <c r="G29" s="116">
        <f t="shared" si="9"/>
        <v>13144279.0902349</v>
      </c>
      <c r="H29" s="116">
        <f t="shared" si="9"/>
        <v>20022817.953418802</v>
      </c>
      <c r="I29" s="116">
        <f t="shared" si="9"/>
        <v>11197049.359363997</v>
      </c>
      <c r="J29" s="116">
        <f t="shared" si="9"/>
        <v>8223301.9832029995</v>
      </c>
      <c r="K29" s="116">
        <f t="shared" si="9"/>
        <v>2574813.9339299984</v>
      </c>
      <c r="L29" s="116">
        <f t="shared" si="9"/>
        <v>4977378.319920999</v>
      </c>
      <c r="M29" s="116">
        <f t="shared" si="9"/>
        <v>6184254.9510639394</v>
      </c>
      <c r="N29" s="116">
        <f t="shared" si="9"/>
        <v>2948681.5841529891</v>
      </c>
      <c r="O29" s="118">
        <f>SUM(C29:N29)</f>
        <v>211040461.37778312</v>
      </c>
      <c r="P29" s="2"/>
      <c r="Q29" s="120">
        <f>Q27-O29</f>
        <v>0</v>
      </c>
      <c r="R29" s="13"/>
    </row>
    <row r="30" spans="1:18" x14ac:dyDescent="0.25">
      <c r="A30" s="19"/>
      <c r="B30" s="20"/>
      <c r="C30" s="119">
        <f>C29-C28</f>
        <v>0</v>
      </c>
      <c r="D30" s="119">
        <f t="shared" ref="D30:N30" si="10">D29-D28</f>
        <v>0</v>
      </c>
      <c r="E30" s="119">
        <f t="shared" si="10"/>
        <v>0</v>
      </c>
      <c r="F30" s="119">
        <f t="shared" si="10"/>
        <v>0</v>
      </c>
      <c r="G30" s="119">
        <f t="shared" si="10"/>
        <v>0</v>
      </c>
      <c r="H30" s="119">
        <f t="shared" si="10"/>
        <v>0</v>
      </c>
      <c r="I30" s="119">
        <f t="shared" si="10"/>
        <v>0</v>
      </c>
      <c r="J30" s="119">
        <f t="shared" si="10"/>
        <v>0</v>
      </c>
      <c r="K30" s="119">
        <f t="shared" si="10"/>
        <v>0</v>
      </c>
      <c r="L30" s="119">
        <f t="shared" si="10"/>
        <v>0</v>
      </c>
      <c r="M30" s="119">
        <f t="shared" si="10"/>
        <v>0</v>
      </c>
      <c r="N30" s="119">
        <f t="shared" si="10"/>
        <v>0</v>
      </c>
      <c r="O30" s="20"/>
      <c r="P30" s="20"/>
      <c r="Q30" s="20"/>
      <c r="R30" s="21"/>
    </row>
    <row r="32" spans="1:18" x14ac:dyDescent="0.25">
      <c r="C32" s="3" t="s">
        <v>7</v>
      </c>
      <c r="D32" s="3" t="s">
        <v>8</v>
      </c>
      <c r="E32" s="3" t="s">
        <v>9</v>
      </c>
      <c r="F32" s="3" t="s">
        <v>0</v>
      </c>
    </row>
    <row r="33" spans="2:9" x14ac:dyDescent="0.25">
      <c r="B33" s="42" t="s">
        <v>44</v>
      </c>
      <c r="C33" s="3"/>
      <c r="D33" s="3"/>
      <c r="E33" s="3"/>
      <c r="F33" s="3"/>
    </row>
    <row r="34" spans="2:9" x14ac:dyDescent="0.25">
      <c r="B34" s="3" t="s">
        <v>4</v>
      </c>
      <c r="C34" s="76">
        <f>C26</f>
        <v>15161181.775001423</v>
      </c>
      <c r="D34" s="76">
        <f t="shared" ref="D34:F34" si="11">D26</f>
        <v>25333682.747717638</v>
      </c>
      <c r="E34" s="76">
        <f t="shared" si="11"/>
        <v>17904136.641136434</v>
      </c>
      <c r="F34" s="76">
        <f t="shared" si="11"/>
        <v>10873576.011433288</v>
      </c>
      <c r="I34" s="113"/>
    </row>
    <row r="35" spans="2:9" x14ac:dyDescent="0.25">
      <c r="B35" s="3" t="s">
        <v>6</v>
      </c>
      <c r="C35" s="76">
        <f>C28</f>
        <v>26918120.457770899</v>
      </c>
      <c r="D35" s="76">
        <f t="shared" ref="D35:F35" si="12">D28</f>
        <v>49508651.362665869</v>
      </c>
      <c r="E35" s="76">
        <f t="shared" si="12"/>
        <v>43237188.820529789</v>
      </c>
      <c r="F35" s="76">
        <f t="shared" si="12"/>
        <v>22103923.561527923</v>
      </c>
    </row>
    <row r="36" spans="2:9" x14ac:dyDescent="0.25">
      <c r="B36" s="3"/>
      <c r="C36" s="76"/>
      <c r="D36" s="76"/>
      <c r="E36" s="76"/>
      <c r="F36" s="76"/>
    </row>
    <row r="37" spans="2:9" x14ac:dyDescent="0.25">
      <c r="B37" s="42" t="s">
        <v>45</v>
      </c>
      <c r="C37" s="76"/>
      <c r="D37" s="76"/>
      <c r="E37" s="76"/>
      <c r="F37" s="76"/>
    </row>
    <row r="38" spans="2:9" x14ac:dyDescent="0.25">
      <c r="B38" s="3" t="s">
        <v>30</v>
      </c>
      <c r="C38" s="76">
        <f>SUM(D22:F22,H22:J22,L22:N22)</f>
        <v>1841074.1365529043</v>
      </c>
      <c r="D38" s="76">
        <f>SUM(C23,E23:F23,G23,I23:J23,K23,M23:N23)</f>
        <v>4431597.5209977338</v>
      </c>
      <c r="E38" s="76">
        <f>SUM(C24:D24,F24,G24:H24,J24,K24:L24,N24)</f>
        <v>4059664.9671283178</v>
      </c>
      <c r="F38" s="76">
        <f>SUM(C25:E25,G25:I25,K25:M25)</f>
        <v>3229246.882387022</v>
      </c>
    </row>
    <row r="39" spans="2:9" x14ac:dyDescent="0.25">
      <c r="B39" s="3" t="s">
        <v>31</v>
      </c>
      <c r="C39" s="76">
        <f>SUM(C23:C25,G23:G25,K23:K25)</f>
        <v>2398985.3857221752</v>
      </c>
      <c r="D39" s="76">
        <f>SUM(D22,D24:D25,H22,H24:H25,L22,L24:L25)</f>
        <v>4098111.0466174181</v>
      </c>
      <c r="E39" s="76">
        <f>SUM(E22:E23,E25,I22:I23,I25,M22:M23,M25)</f>
        <v>3536832.6364175132</v>
      </c>
      <c r="F39" s="76">
        <f>SUM(F22:F24,J22:J24,N22:N24)</f>
        <v>3527654.4383088709</v>
      </c>
    </row>
    <row r="40" spans="2:9" x14ac:dyDescent="0.25">
      <c r="B40" s="3" t="s">
        <v>32</v>
      </c>
      <c r="C40" s="76">
        <f>C38-C39</f>
        <v>-557911.24916927097</v>
      </c>
      <c r="D40" s="76">
        <f t="shared" ref="D40:F40" si="13">D38-D39</f>
        <v>333486.47438031575</v>
      </c>
      <c r="E40" s="76">
        <f t="shared" si="13"/>
        <v>522832.33071080456</v>
      </c>
      <c r="F40" s="76">
        <f t="shared" si="13"/>
        <v>-298407.55592184886</v>
      </c>
    </row>
    <row r="41" spans="2:9" x14ac:dyDescent="0.25">
      <c r="B41" s="3" t="s">
        <v>46</v>
      </c>
      <c r="C41" s="76">
        <f>C38/C$34</f>
        <v>0.12143341883734729</v>
      </c>
      <c r="D41" s="76">
        <f t="shared" ref="D41:F41" si="14">D38/D$34</f>
        <v>0.17492906835256652</v>
      </c>
      <c r="E41" s="76">
        <f t="shared" si="14"/>
        <v>0.22674452549702154</v>
      </c>
      <c r="F41" s="76">
        <f t="shared" si="14"/>
        <v>0.29698112920639458</v>
      </c>
    </row>
    <row r="42" spans="2:9" x14ac:dyDescent="0.25">
      <c r="B42" s="3" t="s">
        <v>47</v>
      </c>
      <c r="C42" s="76">
        <f t="shared" ref="C42:F43" si="15">C39/C$34</f>
        <v>0.15823208383912077</v>
      </c>
      <c r="D42" s="76">
        <f t="shared" si="15"/>
        <v>0.16176531013780951</v>
      </c>
      <c r="E42" s="76">
        <f t="shared" si="15"/>
        <v>0.19754276384884756</v>
      </c>
      <c r="F42" s="76">
        <f t="shared" si="15"/>
        <v>0.32442449793882272</v>
      </c>
    </row>
    <row r="43" spans="2:9" x14ac:dyDescent="0.25">
      <c r="B43" s="3" t="s">
        <v>48</v>
      </c>
      <c r="C43" s="76">
        <f t="shared" si="15"/>
        <v>-3.6798665001773492E-2</v>
      </c>
      <c r="D43" s="76">
        <f t="shared" si="15"/>
        <v>1.3163758214757E-2</v>
      </c>
      <c r="E43" s="76">
        <f t="shared" si="15"/>
        <v>2.9201761648173986E-2</v>
      </c>
      <c r="F43" s="76">
        <f t="shared" si="15"/>
        <v>-2.7443368732428128E-2</v>
      </c>
    </row>
    <row r="44" spans="2:9" x14ac:dyDescent="0.25">
      <c r="B44" s="3" t="s">
        <v>71</v>
      </c>
      <c r="C44" s="76">
        <f>(C38+C39)/(C$34)</f>
        <v>0.27966550267646806</v>
      </c>
      <c r="D44" s="76">
        <f t="shared" ref="D44:F44" si="16">(D38+D39)/(D$34)</f>
        <v>0.33669437849037603</v>
      </c>
      <c r="E44" s="76">
        <f t="shared" si="16"/>
        <v>0.42428728934586912</v>
      </c>
      <c r="F44" s="76">
        <f t="shared" si="16"/>
        <v>0.6214056271452173</v>
      </c>
    </row>
    <row r="45" spans="2:9" x14ac:dyDescent="0.25">
      <c r="B45" s="3" t="s">
        <v>94</v>
      </c>
      <c r="C45" s="136">
        <f>C40/SUM($C$34:$F$34)</f>
        <v>-8.05385438104202E-3</v>
      </c>
      <c r="D45" s="136">
        <f>D40/SUM($C$34:$F$34)</f>
        <v>4.8141196412608495E-3</v>
      </c>
      <c r="E45" s="136">
        <f>E40/SUM($C$34:$F$34)</f>
        <v>7.5474646971458656E-3</v>
      </c>
      <c r="F45" s="136">
        <f>F40/SUM($C$34:$F$34)</f>
        <v>-4.307729957364689E-3</v>
      </c>
    </row>
    <row r="46" spans="2:9" x14ac:dyDescent="0.25">
      <c r="B46" s="3"/>
      <c r="C46" s="76"/>
      <c r="D46" s="76"/>
      <c r="E46" s="76"/>
      <c r="F46" s="76"/>
    </row>
    <row r="47" spans="2:9" x14ac:dyDescent="0.25">
      <c r="B47" s="42" t="s">
        <v>49</v>
      </c>
      <c r="C47" s="76"/>
      <c r="D47" s="76"/>
      <c r="E47" s="76"/>
      <c r="F47" s="76"/>
    </row>
    <row r="48" spans="2:9" x14ac:dyDescent="0.25">
      <c r="B48" s="3" t="s">
        <v>33</v>
      </c>
      <c r="C48" s="76">
        <f>SUM(D22:F22)</f>
        <v>1277588.3172449465</v>
      </c>
      <c r="D48" s="76">
        <f>SUM(C23,E23:F23)</f>
        <v>2968154.1148774186</v>
      </c>
      <c r="E48" s="76">
        <f>SUM(C24:D24,F24)</f>
        <v>2489881.2844672939</v>
      </c>
      <c r="F48" s="76">
        <f>SUM(C25:E25)</f>
        <v>2411466.6151014147</v>
      </c>
    </row>
    <row r="49" spans="2:11" x14ac:dyDescent="0.25">
      <c r="B49" s="3" t="s">
        <v>34</v>
      </c>
      <c r="C49" s="76">
        <f>SUM(C23:C25)</f>
        <v>1450559.2356442092</v>
      </c>
      <c r="D49" s="76">
        <f>SUM(D22,D24:D25)</f>
        <v>2712731.1119390787</v>
      </c>
      <c r="E49" s="76">
        <f>SUM(E22:E23,E25)</f>
        <v>2601380.0956545277</v>
      </c>
      <c r="F49" s="76">
        <f>SUM(F22:F24)</f>
        <v>2382419.8884532582</v>
      </c>
    </row>
    <row r="50" spans="2:11" x14ac:dyDescent="0.25">
      <c r="B50" s="3" t="s">
        <v>35</v>
      </c>
      <c r="C50" s="76">
        <f>C48-C49</f>
        <v>-172970.91839926271</v>
      </c>
      <c r="D50" s="76">
        <f t="shared" ref="D50:F50" si="17">D48-D49</f>
        <v>255423.00293833995</v>
      </c>
      <c r="E50" s="76">
        <f t="shared" si="17"/>
        <v>-111498.81118723378</v>
      </c>
      <c r="F50" s="76">
        <f t="shared" si="17"/>
        <v>29046.726648156531</v>
      </c>
    </row>
    <row r="51" spans="2:11" x14ac:dyDescent="0.25">
      <c r="B51" s="3" t="s">
        <v>51</v>
      </c>
      <c r="C51" s="76">
        <f>C48/C$34</f>
        <v>8.4267066789707856E-2</v>
      </c>
      <c r="D51" s="76">
        <f t="shared" ref="D51:F51" si="18">D48/D$34</f>
        <v>0.11716236223668766</v>
      </c>
      <c r="E51" s="76">
        <f t="shared" si="18"/>
        <v>0.1390673750079944</v>
      </c>
      <c r="F51" s="76">
        <f t="shared" si="18"/>
        <v>0.22177309585786856</v>
      </c>
      <c r="H51" s="76"/>
      <c r="I51" s="76"/>
      <c r="J51" s="76"/>
      <c r="K51" s="76"/>
    </row>
    <row r="52" spans="2:11" x14ac:dyDescent="0.25">
      <c r="B52" s="3" t="s">
        <v>52</v>
      </c>
      <c r="C52" s="76">
        <f t="shared" ref="C52:F53" si="19">C49/C$34</f>
        <v>9.5675868621004842E-2</v>
      </c>
      <c r="D52" s="76">
        <f t="shared" si="19"/>
        <v>0.10708001434112355</v>
      </c>
      <c r="E52" s="76">
        <f t="shared" si="19"/>
        <v>0.1452949197046236</v>
      </c>
      <c r="F52" s="76">
        <f t="shared" si="19"/>
        <v>0.21910178270223193</v>
      </c>
      <c r="H52" s="76"/>
      <c r="I52" s="76"/>
      <c r="J52" s="76"/>
      <c r="K52" s="76"/>
    </row>
    <row r="53" spans="2:11" x14ac:dyDescent="0.25">
      <c r="B53" s="3" t="s">
        <v>53</v>
      </c>
      <c r="C53" s="76">
        <f t="shared" si="19"/>
        <v>-1.1408801831296984E-2</v>
      </c>
      <c r="D53" s="76">
        <f t="shared" si="19"/>
        <v>1.008234789556412E-2</v>
      </c>
      <c r="E53" s="76">
        <f t="shared" si="19"/>
        <v>-6.227544696629202E-3</v>
      </c>
      <c r="F53" s="76">
        <f t="shared" si="19"/>
        <v>2.6713131556366219E-3</v>
      </c>
    </row>
    <row r="54" spans="2:11" x14ac:dyDescent="0.25">
      <c r="B54" s="3" t="s">
        <v>71</v>
      </c>
      <c r="C54" s="76">
        <f>(C48+C49)/(2*C$34)</f>
        <v>8.9971467705356356E-2</v>
      </c>
      <c r="D54" s="76">
        <f t="shared" ref="D54:F54" si="20">(D48+D49)/(2*D$34)</f>
        <v>0.1121211882889056</v>
      </c>
      <c r="E54" s="76">
        <f t="shared" si="20"/>
        <v>0.14218114735630902</v>
      </c>
      <c r="F54" s="76">
        <f t="shared" si="20"/>
        <v>0.22043743928005025</v>
      </c>
    </row>
    <row r="55" spans="2:11" x14ac:dyDescent="0.25">
      <c r="B55" s="3" t="s">
        <v>158</v>
      </c>
      <c r="C55" s="76">
        <f>(C48+C49)/(C38+C39)</f>
        <v>0.64342199409156398</v>
      </c>
      <c r="D55" s="76">
        <f t="shared" ref="D55:F55" si="21">(D48+D49)/(D38+D39)</f>
        <v>0.66601164410061842</v>
      </c>
      <c r="E55" s="76">
        <f t="shared" si="21"/>
        <v>0.67021167462033604</v>
      </c>
      <c r="F55" s="76">
        <f t="shared" si="21"/>
        <v>0.70948002287251855</v>
      </c>
    </row>
    <row r="56" spans="2:11" x14ac:dyDescent="0.25">
      <c r="B56" s="3"/>
      <c r="C56" s="76"/>
      <c r="D56" s="76"/>
      <c r="E56" s="76"/>
      <c r="F56" s="76"/>
    </row>
    <row r="57" spans="2:11" x14ac:dyDescent="0.25">
      <c r="B57" s="42" t="s">
        <v>50</v>
      </c>
      <c r="C57" s="76"/>
      <c r="D57" s="76"/>
      <c r="E57" s="76"/>
      <c r="F57" s="76"/>
    </row>
    <row r="58" spans="2:11" x14ac:dyDescent="0.25">
      <c r="B58" s="3" t="s">
        <v>36</v>
      </c>
      <c r="C58" s="76">
        <f t="shared" ref="C58:F59" si="22">C38-C48</f>
        <v>563485.81930795778</v>
      </c>
      <c r="D58" s="76">
        <f t="shared" si="22"/>
        <v>1463443.4061203152</v>
      </c>
      <c r="E58" s="76">
        <f t="shared" si="22"/>
        <v>1569783.6826610239</v>
      </c>
      <c r="F58" s="76">
        <f t="shared" si="22"/>
        <v>817780.26728560729</v>
      </c>
    </row>
    <row r="59" spans="2:11" x14ac:dyDescent="0.25">
      <c r="B59" s="3" t="s">
        <v>37</v>
      </c>
      <c r="C59" s="76">
        <f t="shared" si="22"/>
        <v>948426.15007796604</v>
      </c>
      <c r="D59" s="76">
        <f t="shared" si="22"/>
        <v>1385379.9346783394</v>
      </c>
      <c r="E59" s="76">
        <f t="shared" si="22"/>
        <v>935452.54076298559</v>
      </c>
      <c r="F59" s="76">
        <f t="shared" si="22"/>
        <v>1145234.5498556127</v>
      </c>
    </row>
    <row r="60" spans="2:11" x14ac:dyDescent="0.25">
      <c r="B60" s="3" t="s">
        <v>38</v>
      </c>
      <c r="C60" s="76">
        <f>C58-C59</f>
        <v>-384940.33077000827</v>
      </c>
      <c r="D60" s="76">
        <f t="shared" ref="D60:F60" si="23">D58-D59</f>
        <v>78063.471441975795</v>
      </c>
      <c r="E60" s="76">
        <f t="shared" si="23"/>
        <v>634331.14189803833</v>
      </c>
      <c r="F60" s="76">
        <f t="shared" si="23"/>
        <v>-327454.28257000539</v>
      </c>
    </row>
    <row r="61" spans="2:11" x14ac:dyDescent="0.25">
      <c r="B61" s="3" t="s">
        <v>54</v>
      </c>
      <c r="C61" s="76">
        <f>C58/C$34</f>
        <v>3.7166352047639434E-2</v>
      </c>
      <c r="D61" s="76">
        <f t="shared" ref="D61:F61" si="24">D58/D$34</f>
        <v>5.7766706115878856E-2</v>
      </c>
      <c r="E61" s="76">
        <f t="shared" si="24"/>
        <v>8.7677150489027134E-2</v>
      </c>
      <c r="F61" s="76">
        <f t="shared" si="24"/>
        <v>7.5208033348526021E-2</v>
      </c>
    </row>
    <row r="62" spans="2:11" x14ac:dyDescent="0.25">
      <c r="B62" s="3" t="s">
        <v>55</v>
      </c>
      <c r="C62" s="76">
        <f t="shared" ref="C62:F63" si="25">C59/C$34</f>
        <v>6.255621521811594E-2</v>
      </c>
      <c r="D62" s="76">
        <f t="shared" si="25"/>
        <v>5.4685295796685976E-2</v>
      </c>
      <c r="E62" s="76">
        <f t="shared" si="25"/>
        <v>5.2247844144223947E-2</v>
      </c>
      <c r="F62" s="76">
        <f t="shared" si="25"/>
        <v>0.10532271523659077</v>
      </c>
    </row>
    <row r="63" spans="2:11" x14ac:dyDescent="0.25">
      <c r="B63" s="3" t="s">
        <v>56</v>
      </c>
      <c r="C63" s="76">
        <f t="shared" si="25"/>
        <v>-2.5389863170476507E-2</v>
      </c>
      <c r="D63" s="76">
        <f t="shared" si="25"/>
        <v>3.0814103191928815E-3</v>
      </c>
      <c r="E63" s="76">
        <f t="shared" si="25"/>
        <v>3.5429306344803187E-2</v>
      </c>
      <c r="F63" s="76">
        <f t="shared" si="25"/>
        <v>-3.0114681888064751E-2</v>
      </c>
    </row>
    <row r="64" spans="2:11" x14ac:dyDescent="0.25">
      <c r="B64" s="3" t="s">
        <v>71</v>
      </c>
      <c r="C64" s="76">
        <f>(C58+C59)/(2*C$34)</f>
        <v>4.9861283632877687E-2</v>
      </c>
      <c r="D64" s="76">
        <f t="shared" ref="D64:F64" si="26">(D58+D59)/(2*D$34)</f>
        <v>5.622600095628242E-2</v>
      </c>
      <c r="E64" s="76">
        <f t="shared" si="26"/>
        <v>6.9962497316625544E-2</v>
      </c>
      <c r="F64" s="76">
        <f t="shared" si="26"/>
        <v>9.026537429255839E-2</v>
      </c>
    </row>
    <row r="65" spans="2:6" x14ac:dyDescent="0.25">
      <c r="B65" s="3" t="s">
        <v>99</v>
      </c>
      <c r="C65" s="76">
        <f>C59/(G28+K28)</f>
        <v>6.0335933416766116E-2</v>
      </c>
      <c r="D65" s="76">
        <f>D59/(H28+L28)</f>
        <v>5.5414762329514512E-2</v>
      </c>
      <c r="E65" s="76">
        <f>E59/(I28+M28)</f>
        <v>5.3819467403361652E-2</v>
      </c>
      <c r="F65" s="76">
        <f>F59/(J28+N28)</f>
        <v>0.1025095089829826</v>
      </c>
    </row>
    <row r="66" spans="2:6" x14ac:dyDescent="0.25">
      <c r="C66" s="76"/>
      <c r="D66" s="76"/>
      <c r="E66" s="76"/>
      <c r="F66" s="76"/>
    </row>
    <row r="67" spans="2:6" x14ac:dyDescent="0.25">
      <c r="B67" s="42" t="s">
        <v>57</v>
      </c>
      <c r="C67" s="76"/>
      <c r="D67" s="76"/>
      <c r="E67" s="76"/>
      <c r="F67" s="76"/>
    </row>
    <row r="68" spans="2:6" x14ac:dyDescent="0.25">
      <c r="B68" s="3" t="s">
        <v>58</v>
      </c>
      <c r="C68" s="76">
        <f>SUM(H22:J22)</f>
        <v>337747.26828764501</v>
      </c>
      <c r="D68" s="76">
        <f>SUM(G23,I23:J23)</f>
        <v>881743.00081309327</v>
      </c>
      <c r="E68" s="76">
        <f>SUM(G24:H24,J24)</f>
        <v>957072.57989855693</v>
      </c>
      <c r="F68" s="76">
        <f>SUM(G25:I25)</f>
        <v>656551.08717158483</v>
      </c>
    </row>
    <row r="69" spans="2:6" x14ac:dyDescent="0.25">
      <c r="B69" s="3" t="s">
        <v>59</v>
      </c>
      <c r="C69" s="76">
        <f>SUM(G23:G25)</f>
        <v>594125.24358930148</v>
      </c>
      <c r="D69" s="76">
        <f>SUM(H22,H24:H25)</f>
        <v>1009200.7673150747</v>
      </c>
      <c r="E69" s="76">
        <f>SUM(I22:I23,I25)</f>
        <v>533361.89221277286</v>
      </c>
      <c r="F69" s="76">
        <f>SUM(J22:J24)</f>
        <v>696426.03305373108</v>
      </c>
    </row>
    <row r="70" spans="2:6" x14ac:dyDescent="0.25">
      <c r="B70" s="3" t="s">
        <v>60</v>
      </c>
      <c r="C70" s="76">
        <f>C68-C69</f>
        <v>-256377.97530165646</v>
      </c>
      <c r="D70" s="76">
        <f t="shared" ref="D70:F70" si="27">D68-D69</f>
        <v>-127457.76650198142</v>
      </c>
      <c r="E70" s="76">
        <f t="shared" si="27"/>
        <v>423710.68768578407</v>
      </c>
      <c r="F70" s="76">
        <f t="shared" si="27"/>
        <v>-39874.945882146247</v>
      </c>
    </row>
    <row r="71" spans="2:6" x14ac:dyDescent="0.25">
      <c r="B71" s="3" t="s">
        <v>61</v>
      </c>
      <c r="C71" s="76">
        <f>C68/C$34</f>
        <v>2.2277106976221404E-2</v>
      </c>
      <c r="D71" s="76">
        <f t="shared" ref="D71:F71" si="28">D68/D$34</f>
        <v>3.4805164712680046E-2</v>
      </c>
      <c r="E71" s="76">
        <f t="shared" si="28"/>
        <v>5.345538849941487E-2</v>
      </c>
      <c r="F71" s="76">
        <f t="shared" si="28"/>
        <v>6.0380420064313531E-2</v>
      </c>
    </row>
    <row r="72" spans="2:6" x14ac:dyDescent="0.25">
      <c r="B72" s="3" t="s">
        <v>62</v>
      </c>
      <c r="C72" s="76">
        <f t="shared" ref="C72:F73" si="29">C69/C$34</f>
        <v>3.9187264713686588E-2</v>
      </c>
      <c r="D72" s="76">
        <f t="shared" si="29"/>
        <v>3.9836322944637632E-2</v>
      </c>
      <c r="E72" s="76">
        <f t="shared" si="29"/>
        <v>2.97898693974064E-2</v>
      </c>
      <c r="F72" s="76">
        <f t="shared" si="29"/>
        <v>6.4047561935600281E-2</v>
      </c>
    </row>
    <row r="73" spans="2:6" x14ac:dyDescent="0.25">
      <c r="B73" s="3" t="s">
        <v>63</v>
      </c>
      <c r="C73" s="76">
        <f t="shared" si="29"/>
        <v>-1.6910157737465185E-2</v>
      </c>
      <c r="D73" s="76">
        <f t="shared" si="29"/>
        <v>-5.0311582319575842E-3</v>
      </c>
      <c r="E73" s="76">
        <f t="shared" si="29"/>
        <v>2.3665519102008471E-2</v>
      </c>
      <c r="F73" s="76">
        <f t="shared" si="29"/>
        <v>-3.6671418712867559E-3</v>
      </c>
    </row>
    <row r="74" spans="2:6" x14ac:dyDescent="0.25">
      <c r="B74" s="3" t="s">
        <v>71</v>
      </c>
      <c r="C74" s="76">
        <f>(C68+C69)/(2*C$34)</f>
        <v>3.0732185844953998E-2</v>
      </c>
      <c r="D74" s="76">
        <f t="shared" ref="D74:F74" si="30">(D68+D69)/(2*D$34)</f>
        <v>3.7320743828658839E-2</v>
      </c>
      <c r="E74" s="76">
        <f t="shared" si="30"/>
        <v>4.1622628948410637E-2</v>
      </c>
      <c r="F74" s="76">
        <f t="shared" si="30"/>
        <v>6.2213990999956913E-2</v>
      </c>
    </row>
    <row r="75" spans="2:6" x14ac:dyDescent="0.25">
      <c r="C75" s="76"/>
      <c r="D75" s="76"/>
      <c r="E75" s="76"/>
      <c r="F75" s="76"/>
    </row>
    <row r="76" spans="2:6" x14ac:dyDescent="0.25">
      <c r="B76" s="42" t="s">
        <v>64</v>
      </c>
      <c r="C76" s="76"/>
      <c r="D76" s="76"/>
      <c r="E76" s="76"/>
      <c r="F76" s="76"/>
    </row>
    <row r="77" spans="2:6" x14ac:dyDescent="0.25">
      <c r="B77" s="3" t="s">
        <v>65</v>
      </c>
      <c r="C77" s="76">
        <f>C58-C68</f>
        <v>225738.55102031276</v>
      </c>
      <c r="D77" s="76">
        <f>D58-D68</f>
        <v>581700.40530722192</v>
      </c>
      <c r="E77" s="76">
        <f>E58-E68</f>
        <v>612711.102762467</v>
      </c>
      <c r="F77" s="76">
        <f>F58-F68</f>
        <v>161229.18011402246</v>
      </c>
    </row>
    <row r="78" spans="2:6" x14ac:dyDescent="0.25">
      <c r="B78" s="3" t="s">
        <v>66</v>
      </c>
      <c r="C78" s="76">
        <f>C59-C69</f>
        <v>354300.90648866456</v>
      </c>
      <c r="D78" s="76">
        <f>D59-D69</f>
        <v>376179.16736326471</v>
      </c>
      <c r="E78" s="76">
        <f t="shared" ref="E78:F78" si="31">E59-E69</f>
        <v>402090.64855021273</v>
      </c>
      <c r="F78" s="76">
        <f t="shared" si="31"/>
        <v>448808.5168018816</v>
      </c>
    </row>
    <row r="79" spans="2:6" x14ac:dyDescent="0.25">
      <c r="B79" s="3" t="s">
        <v>67</v>
      </c>
      <c r="C79" s="76">
        <f>C77-C78</f>
        <v>-128562.3554683518</v>
      </c>
      <c r="D79" s="76">
        <f t="shared" ref="D79:F79" si="32">D77-D78</f>
        <v>205521.23794395721</v>
      </c>
      <c r="E79" s="76">
        <f t="shared" si="32"/>
        <v>210620.45421225426</v>
      </c>
      <c r="F79" s="76">
        <f t="shared" si="32"/>
        <v>-287579.33668785915</v>
      </c>
    </row>
    <row r="80" spans="2:6" x14ac:dyDescent="0.25">
      <c r="B80" s="3" t="s">
        <v>68</v>
      </c>
      <c r="C80" s="76">
        <f>C77/C$34</f>
        <v>1.4889245071418027E-2</v>
      </c>
      <c r="D80" s="76">
        <f t="shared" ref="D80:F80" si="33">D77/D$34</f>
        <v>2.296154140319881E-2</v>
      </c>
      <c r="E80" s="76">
        <f t="shared" si="33"/>
        <v>3.4221761989612264E-2</v>
      </c>
      <c r="F80" s="76">
        <f t="shared" si="33"/>
        <v>1.4827613284212487E-2</v>
      </c>
    </row>
    <row r="81" spans="2:6" x14ac:dyDescent="0.25">
      <c r="B81" s="3" t="s">
        <v>69</v>
      </c>
      <c r="C81" s="76">
        <f t="shared" ref="C81:F82" si="34">C78/C$34</f>
        <v>2.3368950504429348E-2</v>
      </c>
      <c r="D81" s="76">
        <f t="shared" si="34"/>
        <v>1.4848972852048345E-2</v>
      </c>
      <c r="E81" s="76">
        <f t="shared" si="34"/>
        <v>2.2457974746817544E-2</v>
      </c>
      <c r="F81" s="76">
        <f t="shared" si="34"/>
        <v>4.1275153300990478E-2</v>
      </c>
    </row>
    <row r="82" spans="2:6" x14ac:dyDescent="0.25">
      <c r="B82" s="3" t="s">
        <v>70</v>
      </c>
      <c r="C82" s="76">
        <f t="shared" si="34"/>
        <v>-8.4797054330113218E-3</v>
      </c>
      <c r="D82" s="76">
        <f t="shared" si="34"/>
        <v>8.1125685511504644E-3</v>
      </c>
      <c r="E82" s="76">
        <f t="shared" si="34"/>
        <v>1.1763787242794718E-2</v>
      </c>
      <c r="F82" s="76">
        <f t="shared" si="34"/>
        <v>-2.6447540016777994E-2</v>
      </c>
    </row>
    <row r="83" spans="2:6" x14ac:dyDescent="0.25">
      <c r="B83" s="3" t="s">
        <v>71</v>
      </c>
      <c r="C83" s="76">
        <f>(C77+C78)/(2*C$34)</f>
        <v>1.9129097787923686E-2</v>
      </c>
      <c r="D83" s="76">
        <f t="shared" ref="D83:F83" si="35">(D77+D78)/(2*D$34)</f>
        <v>1.8905257127623577E-2</v>
      </c>
      <c r="E83" s="76">
        <f t="shared" si="35"/>
        <v>2.8339868368214904E-2</v>
      </c>
      <c r="F83" s="76">
        <f t="shared" si="35"/>
        <v>2.8051383292601484E-2</v>
      </c>
    </row>
    <row r="84" spans="2:6" x14ac:dyDescent="0.25">
      <c r="C84" s="76"/>
      <c r="D84" s="76"/>
      <c r="E84" s="76"/>
      <c r="F84" s="76"/>
    </row>
  </sheetData>
  <mergeCells count="10">
    <mergeCell ref="C5:N5"/>
    <mergeCell ref="C6:F6"/>
    <mergeCell ref="G6:J6"/>
    <mergeCell ref="K6:N6"/>
    <mergeCell ref="A8:A11"/>
    <mergeCell ref="A22:A25"/>
    <mergeCell ref="C20:F20"/>
    <mergeCell ref="C19:N19"/>
    <mergeCell ref="G20:J20"/>
    <mergeCell ref="K20:N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72"/>
  <sheetViews>
    <sheetView topLeftCell="A61" zoomScaleNormal="100" workbookViewId="0">
      <pane xSplit="2" topLeftCell="C1" activePane="topRight" state="frozen"/>
      <selection pane="topRight" activeCell="B81" sqref="B81"/>
    </sheetView>
  </sheetViews>
  <sheetFormatPr defaultRowHeight="15" x14ac:dyDescent="0.25"/>
  <cols>
    <col min="1" max="1" width="19" bestFit="1" customWidth="1"/>
    <col min="2" max="2" width="70.28515625" bestFit="1" customWidth="1"/>
    <col min="3" max="14" width="18.85546875" customWidth="1"/>
    <col min="15" max="15" width="15.28515625" bestFit="1" customWidth="1"/>
    <col min="16" max="16" width="15.7109375" bestFit="1" customWidth="1"/>
    <col min="17" max="17" width="15.28515625" bestFit="1" customWidth="1"/>
    <col min="18" max="26" width="13.85546875" customWidth="1"/>
    <col min="27" max="29" width="15.28515625" bestFit="1" customWidth="1"/>
    <col min="30" max="30" width="11.5703125" bestFit="1" customWidth="1"/>
    <col min="31" max="31" width="12.7109375" bestFit="1" customWidth="1"/>
    <col min="32" max="32" width="12" bestFit="1" customWidth="1"/>
  </cols>
  <sheetData>
    <row r="1" spans="1:18" ht="18.75" x14ac:dyDescent="0.3">
      <c r="A1" s="6" t="s">
        <v>113</v>
      </c>
    </row>
    <row r="3" spans="1:18" x14ac:dyDescent="0.25">
      <c r="A3" s="59" t="s">
        <v>112</v>
      </c>
      <c r="B3" s="54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54"/>
      <c r="R3" s="55"/>
    </row>
    <row r="4" spans="1:18" x14ac:dyDescent="0.25">
      <c r="A4" s="14"/>
      <c r="B4" s="2"/>
      <c r="C4" s="145" t="s">
        <v>11</v>
      </c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62"/>
      <c r="P4" s="71" t="s">
        <v>29</v>
      </c>
      <c r="Q4" s="7" t="s">
        <v>39</v>
      </c>
      <c r="R4" s="13"/>
    </row>
    <row r="5" spans="1:18" x14ac:dyDescent="0.25">
      <c r="A5" s="14"/>
      <c r="B5" s="2"/>
      <c r="C5" s="146" t="s">
        <v>1</v>
      </c>
      <c r="D5" s="145"/>
      <c r="E5" s="145"/>
      <c r="F5" s="147"/>
      <c r="G5" s="145" t="s">
        <v>5</v>
      </c>
      <c r="H5" s="145"/>
      <c r="I5" s="145"/>
      <c r="J5" s="147"/>
      <c r="K5" s="148" t="s">
        <v>3</v>
      </c>
      <c r="L5" s="145"/>
      <c r="M5" s="145"/>
      <c r="N5" s="149"/>
      <c r="O5" s="62"/>
      <c r="P5" s="62"/>
      <c r="Q5" s="2"/>
      <c r="R5" s="13"/>
    </row>
    <row r="6" spans="1:18" x14ac:dyDescent="0.25">
      <c r="A6" s="14"/>
      <c r="B6" s="2"/>
      <c r="C6" s="128" t="s">
        <v>7</v>
      </c>
      <c r="D6" s="71" t="s">
        <v>8</v>
      </c>
      <c r="E6" s="71" t="s">
        <v>9</v>
      </c>
      <c r="F6" s="129" t="s">
        <v>0</v>
      </c>
      <c r="G6" s="71" t="s">
        <v>7</v>
      </c>
      <c r="H6" s="71" t="s">
        <v>8</v>
      </c>
      <c r="I6" s="71" t="s">
        <v>9</v>
      </c>
      <c r="J6" s="129" t="s">
        <v>0</v>
      </c>
      <c r="K6" s="71" t="s">
        <v>7</v>
      </c>
      <c r="L6" s="71" t="s">
        <v>8</v>
      </c>
      <c r="M6" s="71" t="s">
        <v>9</v>
      </c>
      <c r="N6" s="130" t="s">
        <v>0</v>
      </c>
      <c r="O6" s="62"/>
      <c r="P6" s="62"/>
      <c r="Q6" s="2"/>
      <c r="R6" s="13"/>
    </row>
    <row r="7" spans="1:18" x14ac:dyDescent="0.25">
      <c r="A7" s="150" t="s">
        <v>10</v>
      </c>
      <c r="B7" s="7" t="s">
        <v>7</v>
      </c>
      <c r="C7" s="131">
        <f>'BenchmarkIOMatrix-1995'!C22</f>
        <v>5564804.2664373862</v>
      </c>
      <c r="D7" s="70">
        <f>'BenchmarkIOMatrix-1995'!D22</f>
        <v>228785.35852844641</v>
      </c>
      <c r="E7" s="70">
        <f>'BenchmarkIOMatrix-1995'!E22</f>
        <v>94560.991268332247</v>
      </c>
      <c r="F7" s="133">
        <f>'BenchmarkIOMatrix-1995'!F22</f>
        <v>197436.19747258461</v>
      </c>
      <c r="G7" s="70">
        <f>'BenchmarkIOMatrix-1995'!G22</f>
        <v>5926949.1729290169</v>
      </c>
      <c r="H7" s="70">
        <f>'BenchmarkIOMatrix-1995'!H22</f>
        <v>80793.271593902246</v>
      </c>
      <c r="I7" s="70">
        <f>'BenchmarkIOMatrix-1995'!I22</f>
        <v>23796.918202255772</v>
      </c>
      <c r="J7" s="133">
        <f>'BenchmarkIOMatrix-1995'!J22</f>
        <v>39382.304926033845</v>
      </c>
      <c r="K7" s="70">
        <f>'BenchmarkIOMatrix-1995'!K22</f>
        <v>1218234.1868745731</v>
      </c>
      <c r="L7" s="70">
        <f>'BenchmarkIOMatrix-1995'!L22</f>
        <v>51246.054381103066</v>
      </c>
      <c r="M7" s="70">
        <f>'BenchmarkIOMatrix-1995'!M22</f>
        <v>23271.258425006239</v>
      </c>
      <c r="N7" s="132">
        <f>'BenchmarkIOMatrix-1995'!N22</f>
        <v>25952.957038492499</v>
      </c>
      <c r="O7" s="62"/>
      <c r="P7" s="62">
        <f>SUM(C7:N7)</f>
        <v>13475212.938077131</v>
      </c>
      <c r="Q7" s="56">
        <f>C17</f>
        <v>11543223.959253963</v>
      </c>
      <c r="R7" s="115">
        <f>Q7-P7</f>
        <v>-1931988.9788231682</v>
      </c>
    </row>
    <row r="8" spans="1:18" x14ac:dyDescent="0.25">
      <c r="A8" s="150"/>
      <c r="B8" s="7" t="s">
        <v>8</v>
      </c>
      <c r="C8" s="61">
        <f>'BenchmarkIOMatrix-1995'!C23</f>
        <v>261470.69247068494</v>
      </c>
      <c r="D8" s="62">
        <f>'BenchmarkIOMatrix-1995'!D23</f>
        <v>12275066.818850553</v>
      </c>
      <c r="E8" s="62">
        <f>'BenchmarkIOMatrix-1995'!E23</f>
        <v>241701.14516750092</v>
      </c>
      <c r="F8" s="63">
        <f>'BenchmarkIOMatrix-1995'!F23</f>
        <v>399022.63325623551</v>
      </c>
      <c r="G8" s="62">
        <f>'BenchmarkIOMatrix-1995'!G23</f>
        <v>96252.139286830163</v>
      </c>
      <c r="H8" s="62">
        <f>'BenchmarkIOMatrix-1995'!H23</f>
        <v>10704035.358149167</v>
      </c>
      <c r="I8" s="62">
        <f>'BenchmarkIOMatrix-1995'!I23</f>
        <v>71946.141329368314</v>
      </c>
      <c r="J8" s="63">
        <f>'BenchmarkIOMatrix-1995'!J23</f>
        <v>110572.75313071824</v>
      </c>
      <c r="K8" s="62">
        <f>'BenchmarkIOMatrix-1995'!K23</f>
        <v>109753.5638649686</v>
      </c>
      <c r="L8" s="62">
        <f>'BenchmarkIOMatrix-1995'!L23</f>
        <v>3294355.465238513</v>
      </c>
      <c r="M8" s="62">
        <f>'BenchmarkIOMatrix-1995'!M23</f>
        <v>80501.005451682257</v>
      </c>
      <c r="N8" s="64">
        <f>'BenchmarkIOMatrix-1995'!N23</f>
        <v>126077.31593519982</v>
      </c>
      <c r="O8" s="62"/>
      <c r="P8" s="62">
        <f t="shared" ref="P8:P11" si="0">SUM(C8:N8)</f>
        <v>27770755.032131422</v>
      </c>
      <c r="Q8" s="56">
        <f>D17</f>
        <v>20058947.265604306</v>
      </c>
      <c r="R8" s="115">
        <f t="shared" ref="R8:R14" si="1">Q8-P8</f>
        <v>-7711807.7665271163</v>
      </c>
    </row>
    <row r="9" spans="1:18" x14ac:dyDescent="0.25">
      <c r="A9" s="150"/>
      <c r="B9" s="7" t="s">
        <v>9</v>
      </c>
      <c r="C9" s="61">
        <f>'BenchmarkIOMatrix-1995'!C24</f>
        <v>95152.366388163427</v>
      </c>
      <c r="D9" s="62">
        <f>'BenchmarkIOMatrix-1995'!D24</f>
        <v>235463.17281323919</v>
      </c>
      <c r="E9" s="62">
        <f>'BenchmarkIOMatrix-1995'!E24</f>
        <v>3640906.9840632132</v>
      </c>
      <c r="F9" s="63">
        <f>'BenchmarkIOMatrix-1995'!F24</f>
        <v>107542.97285170347</v>
      </c>
      <c r="G9" s="62">
        <f>'BenchmarkIOMatrix-1995'!G24</f>
        <v>69612.719485673399</v>
      </c>
      <c r="H9" s="62">
        <f>'BenchmarkIOMatrix-1995'!H24</f>
        <v>118632.42681035015</v>
      </c>
      <c r="I9" s="62">
        <f>'BenchmarkIOMatrix-1995'!I24</f>
        <v>2571912.3435154334</v>
      </c>
      <c r="J9" s="63">
        <f>'BenchmarkIOMatrix-1995'!J24</f>
        <v>27544.246953702092</v>
      </c>
      <c r="K9" s="62">
        <f>'BenchmarkIOMatrix-1995'!K24</f>
        <v>30617.293819350543</v>
      </c>
      <c r="L9" s="62">
        <f>'BenchmarkIOMatrix-1995'!L24</f>
        <v>28805.311450726502</v>
      </c>
      <c r="M9" s="62">
        <f>'BenchmarkIOMatrix-1995'!M24</f>
        <v>981448.19822669344</v>
      </c>
      <c r="N9" s="64">
        <f>'BenchmarkIOMatrix-1995'!N24</f>
        <v>25405.79746879491</v>
      </c>
      <c r="O9" s="62"/>
      <c r="P9" s="62">
        <f t="shared" si="0"/>
        <v>7933043.8338470431</v>
      </c>
      <c r="Q9" s="56">
        <f>E17</f>
        <v>15547362.027387615</v>
      </c>
      <c r="R9" s="115">
        <f t="shared" si="1"/>
        <v>7614318.1935405722</v>
      </c>
    </row>
    <row r="10" spans="1:18" x14ac:dyDescent="0.25">
      <c r="A10" s="150"/>
      <c r="B10" s="7" t="s">
        <v>0</v>
      </c>
      <c r="C10" s="61">
        <f>'BenchmarkIOMatrix-1995'!C25</f>
        <v>103957.0235870342</v>
      </c>
      <c r="D10" s="62">
        <f>'BenchmarkIOMatrix-1995'!D25</f>
        <v>268168.77441047278</v>
      </c>
      <c r="E10" s="62">
        <f>'BenchmarkIOMatrix-1995'!E25</f>
        <v>110477.23760934155</v>
      </c>
      <c r="F10" s="63">
        <f>'BenchmarkIOMatrix-1995'!F25</f>
        <v>2199233.0214599343</v>
      </c>
      <c r="G10" s="62">
        <f>'BenchmarkIOMatrix-1995'!G25</f>
        <v>47489.886967469742</v>
      </c>
      <c r="H10" s="62">
        <f>'BenchmarkIOMatrix-1995'!H25</f>
        <v>88682.262198576325</v>
      </c>
      <c r="I10" s="62">
        <f>'BenchmarkIOMatrix-1995'!I25</f>
        <v>26264.927119951724</v>
      </c>
      <c r="J10" s="63">
        <f>'BenchmarkIOMatrix-1995'!J25</f>
        <v>2458210.4419855447</v>
      </c>
      <c r="K10" s="62">
        <f>'BenchmarkIOMatrix-1995'!K25</f>
        <v>21947.139110096494</v>
      </c>
      <c r="L10" s="62">
        <f>'BenchmarkIOMatrix-1995'!L25</f>
        <v>25602.924875657292</v>
      </c>
      <c r="M10" s="62">
        <f>'BenchmarkIOMatrix-1995'!M25</f>
        <v>8714.6296226206923</v>
      </c>
      <c r="N10" s="64">
        <f>'BenchmarkIOMatrix-1995'!N25</f>
        <v>644548.46693251166</v>
      </c>
      <c r="O10" s="62"/>
      <c r="P10" s="62">
        <f t="shared" si="0"/>
        <v>6003296.7358792117</v>
      </c>
      <c r="Q10" s="56">
        <f>F17</f>
        <v>8863322.4394321721</v>
      </c>
      <c r="R10" s="115">
        <f t="shared" si="1"/>
        <v>2860025.7035529604</v>
      </c>
    </row>
    <row r="11" spans="1:18" s="3" customFormat="1" x14ac:dyDescent="0.25">
      <c r="A11" s="57"/>
      <c r="B11" s="7" t="s">
        <v>90</v>
      </c>
      <c r="C11" s="61">
        <f>'BenchmarkIOMatrix-1995'!C26</f>
        <v>7449828.5891882153</v>
      </c>
      <c r="D11" s="62">
        <v>0</v>
      </c>
      <c r="E11" s="62">
        <v>0</v>
      </c>
      <c r="F11" s="63">
        <v>0</v>
      </c>
      <c r="G11" s="62">
        <v>0</v>
      </c>
      <c r="H11" s="62">
        <v>0</v>
      </c>
      <c r="I11" s="62">
        <v>0</v>
      </c>
      <c r="J11" s="63">
        <v>0</v>
      </c>
      <c r="K11" s="62">
        <v>0</v>
      </c>
      <c r="L11" s="62">
        <v>0</v>
      </c>
      <c r="M11" s="62">
        <v>0</v>
      </c>
      <c r="N11" s="64">
        <v>0</v>
      </c>
      <c r="O11" s="62"/>
      <c r="P11" s="62">
        <f t="shared" si="0"/>
        <v>7449828.5891882153</v>
      </c>
      <c r="Q11" s="56">
        <f>C27</f>
        <v>6381720.2932720268</v>
      </c>
      <c r="R11" s="115">
        <f t="shared" si="1"/>
        <v>-1068108.2959161885</v>
      </c>
    </row>
    <row r="12" spans="1:18" s="3" customFormat="1" x14ac:dyDescent="0.25">
      <c r="A12" s="57"/>
      <c r="B12" s="7" t="s">
        <v>91</v>
      </c>
      <c r="C12" s="61">
        <v>0</v>
      </c>
      <c r="D12" s="62">
        <f>'BenchmarkIOMatrix-1995'!D26</f>
        <v>14763270.907534719</v>
      </c>
      <c r="E12" s="62">
        <v>0</v>
      </c>
      <c r="F12" s="63">
        <v>0</v>
      </c>
      <c r="G12" s="62">
        <v>0</v>
      </c>
      <c r="H12" s="62">
        <v>0</v>
      </c>
      <c r="I12" s="62">
        <v>0</v>
      </c>
      <c r="J12" s="63">
        <v>0</v>
      </c>
      <c r="K12" s="62">
        <v>0</v>
      </c>
      <c r="L12" s="62">
        <v>0</v>
      </c>
      <c r="M12" s="62">
        <v>0</v>
      </c>
      <c r="N12" s="64">
        <v>0</v>
      </c>
      <c r="O12" s="62"/>
      <c r="P12" s="62">
        <f>SUM(C12:O12)</f>
        <v>14763270.907534719</v>
      </c>
      <c r="Q12" s="56">
        <f>D27</f>
        <v>10663580.167675279</v>
      </c>
      <c r="R12" s="115">
        <f t="shared" si="1"/>
        <v>-4099690.7398594394</v>
      </c>
    </row>
    <row r="13" spans="1:18" s="3" customFormat="1" x14ac:dyDescent="0.25">
      <c r="A13" s="57"/>
      <c r="B13" s="7" t="s">
        <v>92</v>
      </c>
      <c r="C13" s="61">
        <v>0</v>
      </c>
      <c r="D13" s="62">
        <v>0</v>
      </c>
      <c r="E13" s="62">
        <f>'BenchmarkIOMatrix-1995'!E26</f>
        <v>3845397.4757379903</v>
      </c>
      <c r="F13" s="63">
        <v>0</v>
      </c>
      <c r="G13" s="62">
        <v>0</v>
      </c>
      <c r="H13" s="62">
        <v>0</v>
      </c>
      <c r="I13" s="62">
        <v>0</v>
      </c>
      <c r="J13" s="63">
        <v>0</v>
      </c>
      <c r="K13" s="62">
        <v>0</v>
      </c>
      <c r="L13" s="62">
        <v>0</v>
      </c>
      <c r="M13" s="62">
        <v>0</v>
      </c>
      <c r="N13" s="64">
        <v>0</v>
      </c>
      <c r="O13" s="62"/>
      <c r="P13" s="62">
        <f t="shared" ref="P13:P14" si="2">SUM(C13:O13)</f>
        <v>3845397.4757379903</v>
      </c>
      <c r="Q13" s="56">
        <f>E27</f>
        <v>7536298.5439995434</v>
      </c>
      <c r="R13" s="115">
        <f t="shared" si="1"/>
        <v>3690901.0682615531</v>
      </c>
    </row>
    <row r="14" spans="1:18" s="3" customFormat="1" x14ac:dyDescent="0.25">
      <c r="A14" s="57"/>
      <c r="B14" s="7" t="s">
        <v>93</v>
      </c>
      <c r="C14" s="65">
        <v>0</v>
      </c>
      <c r="D14" s="66">
        <v>0</v>
      </c>
      <c r="E14" s="66"/>
      <c r="F14" s="67">
        <f>'BenchmarkIOMatrix-1995'!F26</f>
        <v>3100061.9108390249</v>
      </c>
      <c r="G14" s="66">
        <v>0</v>
      </c>
      <c r="H14" s="66">
        <v>0</v>
      </c>
      <c r="I14" s="66">
        <v>0</v>
      </c>
      <c r="J14" s="67">
        <v>0</v>
      </c>
      <c r="K14" s="66">
        <v>0</v>
      </c>
      <c r="L14" s="66">
        <v>0</v>
      </c>
      <c r="M14" s="66">
        <v>0</v>
      </c>
      <c r="N14" s="68">
        <v>0</v>
      </c>
      <c r="O14" s="62"/>
      <c r="P14" s="62">
        <f t="shared" si="2"/>
        <v>3100061.9108390249</v>
      </c>
      <c r="Q14" s="56">
        <f>F27</f>
        <v>4576959.8783530975</v>
      </c>
      <c r="R14" s="115">
        <f t="shared" si="1"/>
        <v>1476897.9675140725</v>
      </c>
    </row>
    <row r="15" spans="1:18" s="3" customFormat="1" x14ac:dyDescent="0.25">
      <c r="A15" s="14"/>
      <c r="B15" s="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71">
        <f>SUM(P7:P14)</f>
        <v>84340867.423234761</v>
      </c>
      <c r="Q15" s="71">
        <f>SUM(Q7:Q14)</f>
        <v>85171414.574978009</v>
      </c>
      <c r="R15" s="13"/>
    </row>
    <row r="16" spans="1:18" s="3" customFormat="1" x14ac:dyDescent="0.25">
      <c r="A16" s="14"/>
      <c r="B16" s="9" t="s">
        <v>77</v>
      </c>
      <c r="C16" s="62">
        <f>SUM(C7:C14)</f>
        <v>13475212.938071484</v>
      </c>
      <c r="D16" s="62">
        <f>SUM(D7:D14)</f>
        <v>27770755.032137431</v>
      </c>
      <c r="E16" s="62">
        <f>SUM(E7:E13)</f>
        <v>7933043.8338463791</v>
      </c>
      <c r="F16" s="62">
        <f>SUM(F7:F14)</f>
        <v>6003296.7358794827</v>
      </c>
      <c r="G16" s="62">
        <f>SUM(G7:G14)</f>
        <v>6140303.91866899</v>
      </c>
      <c r="H16" s="62">
        <f t="shared" ref="H16:N16" si="3">SUM(H7:H12)</f>
        <v>10992143.318751996</v>
      </c>
      <c r="I16" s="62">
        <f t="shared" si="3"/>
        <v>2693920.330167009</v>
      </c>
      <c r="J16" s="62">
        <f t="shared" si="3"/>
        <v>2635709.746995999</v>
      </c>
      <c r="K16" s="62">
        <f t="shared" si="3"/>
        <v>1380552.183668989</v>
      </c>
      <c r="L16" s="62">
        <f t="shared" si="3"/>
        <v>3400009.7559459996</v>
      </c>
      <c r="M16" s="62">
        <f t="shared" si="3"/>
        <v>1093935.0917260027</v>
      </c>
      <c r="N16" s="62">
        <f t="shared" si="3"/>
        <v>821984.53737499891</v>
      </c>
      <c r="O16" s="71">
        <f>SUM(C16:N16)</f>
        <v>84340867.423234761</v>
      </c>
      <c r="P16" s="62">
        <f>P15-O16</f>
        <v>0</v>
      </c>
      <c r="Q16" s="2"/>
      <c r="R16" s="13"/>
    </row>
    <row r="17" spans="1:26" s="3" customFormat="1" x14ac:dyDescent="0.25">
      <c r="A17" s="14"/>
      <c r="B17" s="7" t="s">
        <v>78</v>
      </c>
      <c r="C17" s="116">
        <f>C31</f>
        <v>11543223.959253963</v>
      </c>
      <c r="D17" s="116">
        <f t="shared" ref="D17:F17" si="4">D31</f>
        <v>20058947.265604306</v>
      </c>
      <c r="E17" s="116">
        <f t="shared" si="4"/>
        <v>15547362.027387615</v>
      </c>
      <c r="F17" s="116">
        <f t="shared" si="4"/>
        <v>8863322.4394321721</v>
      </c>
      <c r="G17" s="116">
        <f>C36</f>
        <v>5259946.8102523936</v>
      </c>
      <c r="H17" s="116">
        <f t="shared" ref="H17:J17" si="5">D36</f>
        <v>7939676.9339418467</v>
      </c>
      <c r="I17" s="116">
        <f t="shared" si="5"/>
        <v>5279607.1121339938</v>
      </c>
      <c r="J17" s="116">
        <f t="shared" si="5"/>
        <v>3732815.3181376127</v>
      </c>
      <c r="K17" s="116">
        <f>C37</f>
        <v>1182617.5301841982</v>
      </c>
      <c r="L17" s="116">
        <f t="shared" ref="L17:N17" si="6">D37</f>
        <v>2455843.0736988066</v>
      </c>
      <c r="M17" s="116">
        <f t="shared" si="6"/>
        <v>2143919.1893739123</v>
      </c>
      <c r="N17" s="116">
        <f t="shared" si="6"/>
        <v>1164132.9155771839</v>
      </c>
      <c r="O17" s="71">
        <f>SUM(C17:N17)</f>
        <v>85171414.574978009</v>
      </c>
      <c r="P17" s="2"/>
      <c r="Q17" s="120"/>
      <c r="R17" s="13"/>
    </row>
    <row r="18" spans="1:26" x14ac:dyDescent="0.25">
      <c r="A18" s="19"/>
      <c r="B18" s="20"/>
      <c r="C18" s="119">
        <f>C17-C16</f>
        <v>-1931988.9788175207</v>
      </c>
      <c r="D18" s="119">
        <f t="shared" ref="D18:N18" si="7">D17-D16</f>
        <v>-7711807.7665331252</v>
      </c>
      <c r="E18" s="119">
        <f t="shared" si="7"/>
        <v>7614318.1935412362</v>
      </c>
      <c r="F18" s="119">
        <f t="shared" si="7"/>
        <v>2860025.7035526894</v>
      </c>
      <c r="G18" s="119">
        <f t="shared" si="7"/>
        <v>-880357.10841659643</v>
      </c>
      <c r="H18" s="119">
        <f t="shared" si="7"/>
        <v>-3052466.3848101497</v>
      </c>
      <c r="I18" s="119">
        <f t="shared" si="7"/>
        <v>2585686.7819669847</v>
      </c>
      <c r="J18" s="119">
        <f t="shared" si="7"/>
        <v>1097105.5711416136</v>
      </c>
      <c r="K18" s="119">
        <f t="shared" si="7"/>
        <v>-197934.65348479082</v>
      </c>
      <c r="L18" s="119">
        <f t="shared" si="7"/>
        <v>-944166.68224719306</v>
      </c>
      <c r="M18" s="119">
        <f t="shared" si="7"/>
        <v>1049984.0976479095</v>
      </c>
      <c r="N18" s="119">
        <f t="shared" si="7"/>
        <v>342148.37820218503</v>
      </c>
      <c r="O18" s="20"/>
      <c r="P18" s="20"/>
      <c r="Q18" s="20"/>
      <c r="R18" s="21"/>
    </row>
    <row r="19" spans="1:26" x14ac:dyDescent="0.25">
      <c r="A19" s="7"/>
      <c r="B19" s="5"/>
      <c r="C19" s="5"/>
      <c r="D19" s="5"/>
      <c r="E19" s="5"/>
      <c r="F19" s="5"/>
      <c r="H19" s="5"/>
      <c r="I19" s="5"/>
      <c r="J19" s="5"/>
      <c r="K19" s="5"/>
      <c r="L19" s="5"/>
      <c r="M19" s="5"/>
      <c r="N19" s="5"/>
      <c r="Q19" s="5"/>
      <c r="S19" s="5"/>
      <c r="T19" s="5"/>
      <c r="U19" s="5"/>
      <c r="V19" s="5"/>
      <c r="Y19" s="5"/>
    </row>
    <row r="20" spans="1:26" x14ac:dyDescent="0.25">
      <c r="A20" s="59" t="s">
        <v>83</v>
      </c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6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57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7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57"/>
      <c r="B22" s="79"/>
      <c r="C22" s="80" t="s">
        <v>7</v>
      </c>
      <c r="D22" s="80" t="s">
        <v>8</v>
      </c>
      <c r="E22" s="80" t="s">
        <v>9</v>
      </c>
      <c r="F22" s="80" t="s">
        <v>0</v>
      </c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57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57"/>
      <c r="B24" s="97" t="s">
        <v>102</v>
      </c>
      <c r="C24" s="79"/>
      <c r="D24" s="79"/>
      <c r="E24" s="79"/>
      <c r="F24" s="79"/>
      <c r="G24" s="79"/>
      <c r="H24" s="79"/>
      <c r="I24" s="79"/>
      <c r="J24" s="79"/>
      <c r="K24" s="79"/>
      <c r="L24" s="77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57"/>
      <c r="B25" s="80" t="s">
        <v>88</v>
      </c>
      <c r="C25" s="79">
        <f>'BenchmarkIOMatrix-1995'!C34</f>
        <v>7449828.5891882153</v>
      </c>
      <c r="D25" s="79">
        <f>'BenchmarkIOMatrix-1995'!D34</f>
        <v>14763270.907534719</v>
      </c>
      <c r="E25" s="79">
        <f>'BenchmarkIOMatrix-1995'!E34</f>
        <v>3845397.4757379903</v>
      </c>
      <c r="F25" s="79">
        <f>'BenchmarkIOMatrix-1995'!F34</f>
        <v>3100061.9108390249</v>
      </c>
      <c r="G25" s="79"/>
      <c r="H25" s="79"/>
      <c r="I25" s="79"/>
      <c r="J25" s="79"/>
      <c r="K25" s="79"/>
      <c r="L25" s="77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57"/>
      <c r="B26" s="80" t="s">
        <v>72</v>
      </c>
      <c r="C26" s="79">
        <f>'BenchmarkIOMatrix-2011'!C34</f>
        <v>15161181.775001423</v>
      </c>
      <c r="D26" s="79">
        <f>'BenchmarkIOMatrix-2011'!D34</f>
        <v>25333682.747717638</v>
      </c>
      <c r="E26" s="79">
        <f>'BenchmarkIOMatrix-2011'!E34</f>
        <v>17904136.641136434</v>
      </c>
      <c r="F26" s="79">
        <f>'BenchmarkIOMatrix-2011'!F34</f>
        <v>10873576.011433288</v>
      </c>
      <c r="G26" s="79"/>
      <c r="H26" s="79"/>
      <c r="I26" s="79"/>
      <c r="J26" s="79"/>
      <c r="K26" s="79"/>
      <c r="L26" s="77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57"/>
      <c r="B27" s="7" t="s">
        <v>103</v>
      </c>
      <c r="C27" s="114">
        <f>C26/SUM($C$26:$F$26)*SUM($C$25:$F$25)</f>
        <v>6381720.2932720268</v>
      </c>
      <c r="D27" s="114">
        <f t="shared" ref="D27:F27" si="8">D26/SUM($C$26:$F$26)*SUM($C$25:$F$25)</f>
        <v>10663580.167675279</v>
      </c>
      <c r="E27" s="114">
        <f t="shared" si="8"/>
        <v>7536298.5439995434</v>
      </c>
      <c r="F27" s="114">
        <f t="shared" si="8"/>
        <v>4576959.8783530975</v>
      </c>
      <c r="G27" s="2"/>
      <c r="H27" s="2"/>
      <c r="I27" s="2"/>
      <c r="J27" s="2"/>
      <c r="K27" s="2"/>
      <c r="L27" s="13"/>
    </row>
    <row r="28" spans="1:26" x14ac:dyDescent="0.25">
      <c r="A28" s="57"/>
      <c r="B28" s="7"/>
      <c r="C28" s="114"/>
      <c r="D28" s="114"/>
      <c r="E28" s="114"/>
      <c r="F28" s="114"/>
      <c r="G28" s="2"/>
      <c r="H28" s="2"/>
      <c r="I28" s="2"/>
      <c r="J28" s="2"/>
      <c r="K28" s="2"/>
      <c r="L28" s="13"/>
    </row>
    <row r="29" spans="1:26" x14ac:dyDescent="0.25">
      <c r="A29" s="57"/>
      <c r="B29" s="123" t="s">
        <v>115</v>
      </c>
      <c r="C29" s="114"/>
      <c r="D29" s="114"/>
      <c r="E29" s="114"/>
      <c r="F29" s="114"/>
      <c r="G29" s="2"/>
      <c r="H29" s="2"/>
      <c r="I29" s="2"/>
      <c r="J29" s="2"/>
      <c r="K29" s="2"/>
      <c r="L29" s="13"/>
    </row>
    <row r="30" spans="1:26" x14ac:dyDescent="0.25">
      <c r="A30" s="57"/>
      <c r="B30" s="7" t="s">
        <v>89</v>
      </c>
      <c r="C30" s="114">
        <f>'BenchmarkIOMatrix-1995'!C35</f>
        <v>13475212.938071484</v>
      </c>
      <c r="D30" s="114">
        <f>'BenchmarkIOMatrix-1995'!D35</f>
        <v>27770755.032137431</v>
      </c>
      <c r="E30" s="114">
        <f>'BenchmarkIOMatrix-1995'!E35</f>
        <v>7933043.8338463791</v>
      </c>
      <c r="F30" s="114">
        <f>'BenchmarkIOMatrix-1995'!F35</f>
        <v>6003296.7358794827</v>
      </c>
      <c r="G30" s="2"/>
      <c r="H30" s="2"/>
      <c r="I30" s="2"/>
      <c r="J30" s="2"/>
      <c r="K30" s="2"/>
      <c r="L30" s="13"/>
    </row>
    <row r="31" spans="1:26" x14ac:dyDescent="0.25">
      <c r="A31" s="57"/>
      <c r="B31" s="7" t="s">
        <v>104</v>
      </c>
      <c r="C31" s="114">
        <f>(C30/C25)*C27</f>
        <v>11543223.959253963</v>
      </c>
      <c r="D31" s="114">
        <f>(D30/D25)*D27</f>
        <v>20058947.265604306</v>
      </c>
      <c r="E31" s="114">
        <f>(E30/E25)*E27</f>
        <v>15547362.027387615</v>
      </c>
      <c r="F31" s="114">
        <f>(F30/F25)*F27</f>
        <v>8863322.4394321721</v>
      </c>
      <c r="G31" s="2"/>
      <c r="H31" s="2"/>
      <c r="I31" s="2"/>
      <c r="J31" s="2"/>
      <c r="K31" s="2"/>
      <c r="L31" s="13"/>
    </row>
    <row r="32" spans="1:26" x14ac:dyDescent="0.25">
      <c r="A32" s="57"/>
      <c r="B32" s="7"/>
      <c r="C32" s="114"/>
      <c r="D32" s="114"/>
      <c r="E32" s="114"/>
      <c r="F32" s="114"/>
      <c r="G32" s="2"/>
      <c r="H32" s="2"/>
      <c r="I32" s="2"/>
      <c r="J32" s="2"/>
      <c r="K32" s="2"/>
      <c r="L32" s="13"/>
    </row>
    <row r="33" spans="1:26" x14ac:dyDescent="0.25">
      <c r="A33" s="57"/>
      <c r="B33" s="126" t="s">
        <v>116</v>
      </c>
      <c r="C33" s="114"/>
      <c r="D33" s="114"/>
      <c r="E33" s="114"/>
      <c r="F33" s="114"/>
      <c r="G33" s="2"/>
      <c r="H33" s="2"/>
      <c r="I33" s="2"/>
      <c r="J33" s="2"/>
      <c r="K33" s="2"/>
      <c r="L33" s="13"/>
    </row>
    <row r="34" spans="1:26" x14ac:dyDescent="0.25">
      <c r="A34" s="57"/>
      <c r="B34" s="7" t="s">
        <v>105</v>
      </c>
      <c r="C34" s="114">
        <f>'BenchmarkIOMatrix-1995'!G28/'BenchmarkIOMatrix-1995'!C26</f>
        <v>0.82422083208468555</v>
      </c>
      <c r="D34" s="114">
        <f>'BenchmarkIOMatrix-1995'!H28/'BenchmarkIOMatrix-1995'!D26</f>
        <v>0.74456015794859831</v>
      </c>
      <c r="E34" s="114">
        <f>'BenchmarkIOMatrix-1995'!I28/'BenchmarkIOMatrix-1995'!E26</f>
        <v>0.70055705480745001</v>
      </c>
      <c r="F34" s="114"/>
      <c r="G34" s="2"/>
      <c r="H34" s="2"/>
      <c r="I34" s="2"/>
      <c r="J34" s="2"/>
      <c r="K34" s="2"/>
      <c r="L34" s="13"/>
    </row>
    <row r="35" spans="1:26" x14ac:dyDescent="0.25">
      <c r="A35" s="57"/>
      <c r="B35" s="7" t="s">
        <v>106</v>
      </c>
      <c r="C35" s="114">
        <f>'BenchmarkIOMatrix-1995'!K28/'BenchmarkIOMatrix-1995'!C26</f>
        <v>0.18531328166027286</v>
      </c>
      <c r="D35" s="114">
        <f>'BenchmarkIOMatrix-1995'!L28/'BenchmarkIOMatrix-1995'!D26</f>
        <v>0.23030192815947986</v>
      </c>
      <c r="E35" s="114">
        <f>'BenchmarkIOMatrix-1995'!M28/'BenchmarkIOMatrix-1995'!E26</f>
        <v>0.28447906845210064</v>
      </c>
      <c r="F35" s="114"/>
      <c r="G35" s="2"/>
      <c r="H35" s="2"/>
      <c r="I35" s="2"/>
      <c r="J35" s="2"/>
      <c r="K35" s="2"/>
      <c r="L35" s="13"/>
    </row>
    <row r="36" spans="1:26" x14ac:dyDescent="0.25">
      <c r="A36" s="57"/>
      <c r="B36" s="7" t="s">
        <v>109</v>
      </c>
      <c r="C36" s="114">
        <f>C34*C27</f>
        <v>5259946.8102523936</v>
      </c>
      <c r="D36" s="114">
        <f>D34*D27</f>
        <v>7939676.9339418467</v>
      </c>
      <c r="E36" s="114">
        <f>E34*E27</f>
        <v>5279607.1121339938</v>
      </c>
      <c r="F36" s="114">
        <f>F38*'BenchmarkIOMatrix-1995'!J28/('BenchmarkIOMatrix-1995'!J28+'BenchmarkIOMatrix-1995'!N28)</f>
        <v>3732815.3181376127</v>
      </c>
      <c r="G36" s="2"/>
      <c r="H36" s="2"/>
      <c r="I36" s="2"/>
      <c r="J36" s="2"/>
      <c r="K36" s="2"/>
      <c r="L36" s="13"/>
    </row>
    <row r="37" spans="1:26" x14ac:dyDescent="0.25">
      <c r="A37" s="57"/>
      <c r="B37" s="7" t="s">
        <v>110</v>
      </c>
      <c r="C37" s="114">
        <f>C35*C27</f>
        <v>1182617.5301841982</v>
      </c>
      <c r="D37" s="114">
        <f>D35*D27</f>
        <v>2455843.0736988066</v>
      </c>
      <c r="E37" s="114">
        <f>E35*E27</f>
        <v>2143919.1893739123</v>
      </c>
      <c r="F37" s="114">
        <f>F38-F36</f>
        <v>1164132.9155771839</v>
      </c>
      <c r="G37" s="2"/>
      <c r="H37" s="2"/>
      <c r="I37" s="2"/>
      <c r="J37" s="2"/>
      <c r="K37" s="2"/>
      <c r="L37" s="13"/>
    </row>
    <row r="38" spans="1:26" x14ac:dyDescent="0.25">
      <c r="A38" s="57"/>
      <c r="B38" s="7" t="s">
        <v>111</v>
      </c>
      <c r="C38" s="114"/>
      <c r="D38" s="114"/>
      <c r="E38" s="114"/>
      <c r="F38" s="114">
        <f>SUM(C27:F27)-SUM(C36:E37)</f>
        <v>4896948.2337147966</v>
      </c>
      <c r="G38" s="2"/>
      <c r="H38" s="2"/>
      <c r="I38" s="2"/>
      <c r="J38" s="2"/>
      <c r="K38" s="2"/>
      <c r="L38" s="13"/>
    </row>
    <row r="39" spans="1:26" x14ac:dyDescent="0.25">
      <c r="A39" s="57"/>
      <c r="B39" s="7"/>
      <c r="C39" s="114"/>
      <c r="D39" s="114"/>
      <c r="E39" s="114"/>
      <c r="F39" s="114"/>
      <c r="G39" s="2"/>
      <c r="H39" s="2"/>
      <c r="I39" s="2"/>
      <c r="J39" s="2"/>
      <c r="K39" s="2"/>
      <c r="L39" s="13"/>
    </row>
    <row r="40" spans="1:26" x14ac:dyDescent="0.25">
      <c r="A40" s="98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7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5">
      <c r="A41" s="108"/>
      <c r="B41" s="125"/>
      <c r="C41" s="110"/>
      <c r="D41" s="110"/>
      <c r="E41" s="110"/>
      <c r="F41" s="110"/>
      <c r="G41" s="110"/>
      <c r="H41" s="110"/>
      <c r="I41" s="110"/>
      <c r="J41" s="110"/>
      <c r="K41" s="110"/>
      <c r="L41" s="1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x14ac:dyDescent="0.25">
      <c r="A42" s="9"/>
      <c r="B42" s="126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x14ac:dyDescent="0.25">
      <c r="A43" s="59" t="s">
        <v>114</v>
      </c>
      <c r="B43" s="54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54"/>
      <c r="R43" s="55"/>
    </row>
    <row r="44" spans="1:26" x14ac:dyDescent="0.25">
      <c r="A44" s="14"/>
      <c r="B44" s="2"/>
      <c r="C44" s="145" t="s">
        <v>11</v>
      </c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62"/>
      <c r="P44" s="71" t="s">
        <v>29</v>
      </c>
      <c r="Q44" s="7" t="s">
        <v>39</v>
      </c>
      <c r="R44" s="13"/>
    </row>
    <row r="45" spans="1:26" x14ac:dyDescent="0.25">
      <c r="A45" s="14"/>
      <c r="B45" s="2"/>
      <c r="C45" s="146" t="s">
        <v>1</v>
      </c>
      <c r="D45" s="145"/>
      <c r="E45" s="145"/>
      <c r="F45" s="147"/>
      <c r="G45" s="145" t="s">
        <v>5</v>
      </c>
      <c r="H45" s="145"/>
      <c r="I45" s="145"/>
      <c r="J45" s="147"/>
      <c r="K45" s="148" t="s">
        <v>3</v>
      </c>
      <c r="L45" s="145"/>
      <c r="M45" s="145"/>
      <c r="N45" s="149"/>
      <c r="O45" s="62"/>
      <c r="P45" s="62"/>
      <c r="Q45" s="2"/>
      <c r="R45" s="13"/>
    </row>
    <row r="46" spans="1:26" ht="15.75" thickBot="1" x14ac:dyDescent="0.3">
      <c r="A46" s="14"/>
      <c r="B46" s="2"/>
      <c r="C46" s="72" t="s">
        <v>7</v>
      </c>
      <c r="D46" s="73" t="s">
        <v>8</v>
      </c>
      <c r="E46" s="73" t="s">
        <v>9</v>
      </c>
      <c r="F46" s="74" t="s">
        <v>0</v>
      </c>
      <c r="G46" s="73" t="s">
        <v>7</v>
      </c>
      <c r="H46" s="73" t="s">
        <v>8</v>
      </c>
      <c r="I46" s="73" t="s">
        <v>9</v>
      </c>
      <c r="J46" s="74" t="s">
        <v>0</v>
      </c>
      <c r="K46" s="73" t="s">
        <v>7</v>
      </c>
      <c r="L46" s="73" t="s">
        <v>8</v>
      </c>
      <c r="M46" s="73" t="s">
        <v>9</v>
      </c>
      <c r="N46" s="75" t="s">
        <v>0</v>
      </c>
      <c r="O46" s="62"/>
      <c r="P46" s="62"/>
      <c r="Q46" s="2"/>
      <c r="R46" s="13"/>
    </row>
    <row r="47" spans="1:26" ht="15.75" thickTop="1" x14ac:dyDescent="0.25">
      <c r="A47" s="150" t="s">
        <v>10</v>
      </c>
      <c r="B47" s="7" t="s">
        <v>7</v>
      </c>
      <c r="C47" s="61">
        <v>4713615.5715418914</v>
      </c>
      <c r="D47" s="62">
        <v>179242.2440370408</v>
      </c>
      <c r="E47" s="62">
        <v>122484.17854780096</v>
      </c>
      <c r="F47" s="63">
        <v>223743.8776979087</v>
      </c>
      <c r="G47" s="62">
        <v>5037436.44483307</v>
      </c>
      <c r="H47" s="62">
        <v>64142.738260093</v>
      </c>
      <c r="I47" s="62">
        <v>30163.944288837629</v>
      </c>
      <c r="J47" s="63">
        <v>40838.094569163346</v>
      </c>
      <c r="K47" s="62">
        <v>1032478.8248907616</v>
      </c>
      <c r="L47" s="62">
        <v>40731.300235484414</v>
      </c>
      <c r="M47" s="62">
        <v>30247.624618840615</v>
      </c>
      <c r="N47" s="64">
        <v>28099.115741722617</v>
      </c>
      <c r="O47" s="62"/>
      <c r="P47" s="62">
        <f>SUM(C47:N47)</f>
        <v>11543223.959262611</v>
      </c>
      <c r="Q47" s="56">
        <f t="shared" ref="Q47:Q54" si="9">Q7</f>
        <v>11543223.959253963</v>
      </c>
      <c r="R47" s="115">
        <f>Q47-P47</f>
        <v>-8.6482614278793335E-6</v>
      </c>
    </row>
    <row r="48" spans="1:26" x14ac:dyDescent="0.25">
      <c r="A48" s="150"/>
      <c r="B48" s="7" t="s">
        <v>8</v>
      </c>
      <c r="C48" s="61">
        <v>198844.81141525862</v>
      </c>
      <c r="D48" s="62">
        <v>8634217.5919901486</v>
      </c>
      <c r="E48" s="62">
        <v>281082.40790331812</v>
      </c>
      <c r="F48" s="63">
        <v>405983.97575987375</v>
      </c>
      <c r="G48" s="62">
        <v>73447.285121006556</v>
      </c>
      <c r="H48" s="62">
        <v>7629688.654885672</v>
      </c>
      <c r="I48" s="62">
        <v>81876.995589111946</v>
      </c>
      <c r="J48" s="63">
        <v>102943.6215605811</v>
      </c>
      <c r="K48" s="62">
        <v>83513.364710475638</v>
      </c>
      <c r="L48" s="62">
        <v>2350851.9463139661</v>
      </c>
      <c r="M48" s="62">
        <v>93941.975761797527</v>
      </c>
      <c r="N48" s="64">
        <v>122554.63459199968</v>
      </c>
      <c r="O48" s="62"/>
      <c r="P48" s="62">
        <f t="shared" ref="P48:P51" si="10">SUM(C48:N48)</f>
        <v>20058947.265603211</v>
      </c>
      <c r="Q48" s="56">
        <f t="shared" si="9"/>
        <v>20058947.265604306</v>
      </c>
      <c r="R48" s="115">
        <f t="shared" ref="R48:R54" si="11">Q48-P48</f>
        <v>1.0952353477478027E-6</v>
      </c>
    </row>
    <row r="49" spans="1:18" x14ac:dyDescent="0.25">
      <c r="A49" s="150"/>
      <c r="B49" s="7" t="s">
        <v>9</v>
      </c>
      <c r="C49" s="61">
        <v>126613.08773122978</v>
      </c>
      <c r="D49" s="62">
        <v>289794.32510266366</v>
      </c>
      <c r="E49" s="62">
        <v>7408534.3997067101</v>
      </c>
      <c r="F49" s="63">
        <v>191452.55221509401</v>
      </c>
      <c r="G49" s="62">
        <v>92944.076646684785</v>
      </c>
      <c r="H49" s="62">
        <v>147955.27594101676</v>
      </c>
      <c r="I49" s="62">
        <v>5121277.5716650067</v>
      </c>
      <c r="J49" s="63">
        <v>44869.371225069728</v>
      </c>
      <c r="K49" s="62">
        <v>40763.541935476154</v>
      </c>
      <c r="L49" s="62">
        <v>35966.249796895187</v>
      </c>
      <c r="M49" s="62">
        <v>2003980.6689266767</v>
      </c>
      <c r="N49" s="64">
        <v>43210.906486728432</v>
      </c>
      <c r="O49" s="62"/>
      <c r="P49" s="62">
        <f t="shared" si="10"/>
        <v>15547362.027379252</v>
      </c>
      <c r="Q49" s="56">
        <f t="shared" si="9"/>
        <v>15547362.027387615</v>
      </c>
      <c r="R49" s="115">
        <f t="shared" si="11"/>
        <v>8.3632767200469971E-6</v>
      </c>
    </row>
    <row r="50" spans="1:18" x14ac:dyDescent="0.25">
      <c r="A50" s="150"/>
      <c r="B50" s="7" t="s">
        <v>0</v>
      </c>
      <c r="C50" s="61">
        <v>122430.19528804292</v>
      </c>
      <c r="D50" s="62">
        <v>292112.93679985608</v>
      </c>
      <c r="E50" s="62">
        <v>198962.4972348201</v>
      </c>
      <c r="F50" s="63">
        <v>3465182.1554059675</v>
      </c>
      <c r="G50" s="62">
        <v>56119.003651631116</v>
      </c>
      <c r="H50" s="62">
        <v>97890.264855064583</v>
      </c>
      <c r="I50" s="62">
        <v>46288.60059103799</v>
      </c>
      <c r="J50" s="63">
        <v>3544164.2307827985</v>
      </c>
      <c r="K50" s="62">
        <v>25861.798647484851</v>
      </c>
      <c r="L50" s="62">
        <v>28293.577352461009</v>
      </c>
      <c r="M50" s="62">
        <v>15748.920066597793</v>
      </c>
      <c r="N50" s="64">
        <v>970268.25875673303</v>
      </c>
      <c r="O50" s="62"/>
      <c r="P50" s="62">
        <f t="shared" si="10"/>
        <v>8863322.4394324962</v>
      </c>
      <c r="Q50" s="56">
        <f t="shared" si="9"/>
        <v>8863322.4394321721</v>
      </c>
      <c r="R50" s="115">
        <f t="shared" si="11"/>
        <v>-3.2410025596618652E-7</v>
      </c>
    </row>
    <row r="51" spans="1:18" x14ac:dyDescent="0.25">
      <c r="A51" s="57"/>
      <c r="B51" s="7" t="s">
        <v>90</v>
      </c>
      <c r="C51" s="62">
        <v>6381720.2932775421</v>
      </c>
      <c r="D51" s="62">
        <v>0</v>
      </c>
      <c r="E51" s="62">
        <v>0</v>
      </c>
      <c r="F51" s="63">
        <v>0</v>
      </c>
      <c r="G51" s="62">
        <v>0</v>
      </c>
      <c r="H51" s="62">
        <v>0</v>
      </c>
      <c r="I51" s="62">
        <v>0</v>
      </c>
      <c r="J51" s="63">
        <v>0</v>
      </c>
      <c r="K51" s="62">
        <v>0</v>
      </c>
      <c r="L51" s="62">
        <v>0</v>
      </c>
      <c r="M51" s="62">
        <v>0</v>
      </c>
      <c r="N51" s="64">
        <v>0</v>
      </c>
      <c r="O51" s="62"/>
      <c r="P51" s="62">
        <f t="shared" si="10"/>
        <v>6381720.2932775421</v>
      </c>
      <c r="Q51" s="56">
        <f t="shared" si="9"/>
        <v>6381720.2932720268</v>
      </c>
      <c r="R51" s="115">
        <f t="shared" si="11"/>
        <v>-5.5152922868728638E-6</v>
      </c>
    </row>
    <row r="52" spans="1:18" x14ac:dyDescent="0.25">
      <c r="A52" s="57"/>
      <c r="B52" s="7" t="s">
        <v>91</v>
      </c>
      <c r="C52" s="62">
        <v>0</v>
      </c>
      <c r="D52" s="62">
        <v>10663580.167674599</v>
      </c>
      <c r="E52" s="62">
        <v>0</v>
      </c>
      <c r="F52" s="63">
        <v>0</v>
      </c>
      <c r="G52" s="62">
        <v>0</v>
      </c>
      <c r="H52" s="62">
        <v>0</v>
      </c>
      <c r="I52" s="62">
        <v>0</v>
      </c>
      <c r="J52" s="63">
        <v>0</v>
      </c>
      <c r="K52" s="62">
        <v>0</v>
      </c>
      <c r="L52" s="62">
        <v>0</v>
      </c>
      <c r="M52" s="62">
        <v>0</v>
      </c>
      <c r="N52" s="64">
        <v>0</v>
      </c>
      <c r="O52" s="62"/>
      <c r="P52" s="62">
        <f>SUM(C52:O52)</f>
        <v>10663580.167674599</v>
      </c>
      <c r="Q52" s="56">
        <f t="shared" si="9"/>
        <v>10663580.167675279</v>
      </c>
      <c r="R52" s="115">
        <f t="shared" si="11"/>
        <v>6.7986547946929932E-7</v>
      </c>
    </row>
    <row r="53" spans="1:18" x14ac:dyDescent="0.25">
      <c r="A53" s="57"/>
      <c r="B53" s="7" t="s">
        <v>92</v>
      </c>
      <c r="C53" s="62">
        <v>0</v>
      </c>
      <c r="D53" s="62">
        <v>0</v>
      </c>
      <c r="E53" s="62">
        <v>7536298.543994966</v>
      </c>
      <c r="F53" s="63">
        <v>0</v>
      </c>
      <c r="G53" s="62">
        <v>0</v>
      </c>
      <c r="H53" s="62">
        <v>0</v>
      </c>
      <c r="I53" s="62">
        <v>0</v>
      </c>
      <c r="J53" s="63">
        <v>0</v>
      </c>
      <c r="K53" s="62">
        <v>0</v>
      </c>
      <c r="L53" s="62">
        <v>0</v>
      </c>
      <c r="M53" s="62">
        <v>0</v>
      </c>
      <c r="N53" s="64">
        <v>0</v>
      </c>
      <c r="O53" s="62"/>
      <c r="P53" s="62">
        <f t="shared" ref="P53:P54" si="12">SUM(C53:O53)</f>
        <v>7536298.543994966</v>
      </c>
      <c r="Q53" s="56">
        <f t="shared" si="9"/>
        <v>7536298.5439995434</v>
      </c>
      <c r="R53" s="115">
        <f t="shared" si="11"/>
        <v>4.5774504542350769E-6</v>
      </c>
    </row>
    <row r="54" spans="1:18" x14ac:dyDescent="0.25">
      <c r="A54" s="57"/>
      <c r="B54" s="7" t="s">
        <v>93</v>
      </c>
      <c r="C54" s="66">
        <v>0</v>
      </c>
      <c r="D54" s="66">
        <v>0</v>
      </c>
      <c r="E54" s="66">
        <v>0</v>
      </c>
      <c r="F54" s="67">
        <v>4576959.8783533275</v>
      </c>
      <c r="G54" s="124">
        <v>0</v>
      </c>
      <c r="H54" s="66">
        <v>0</v>
      </c>
      <c r="I54" s="66">
        <v>0</v>
      </c>
      <c r="J54" s="67">
        <v>0</v>
      </c>
      <c r="K54" s="66">
        <v>0</v>
      </c>
      <c r="L54" s="66">
        <v>0</v>
      </c>
      <c r="M54" s="66">
        <v>0</v>
      </c>
      <c r="N54" s="68">
        <v>0</v>
      </c>
      <c r="O54" s="62"/>
      <c r="P54" s="62">
        <f t="shared" si="12"/>
        <v>4576959.8783533275</v>
      </c>
      <c r="Q54" s="56">
        <f t="shared" si="9"/>
        <v>4576959.8783530975</v>
      </c>
      <c r="R54" s="115">
        <f t="shared" si="11"/>
        <v>-2.3003667593002319E-7</v>
      </c>
    </row>
    <row r="55" spans="1:18" x14ac:dyDescent="0.25">
      <c r="A55" s="14"/>
      <c r="B55" s="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71">
        <f>SUM(P47:P54)</f>
        <v>85171414.574977994</v>
      </c>
      <c r="Q55" s="71">
        <f>SUM(Q47:Q54)</f>
        <v>85171414.574978009</v>
      </c>
      <c r="R55" s="13"/>
    </row>
    <row r="56" spans="1:18" x14ac:dyDescent="0.25">
      <c r="A56" s="14"/>
      <c r="B56" s="9" t="s">
        <v>77</v>
      </c>
      <c r="C56" s="62">
        <f>SUM(C47:C54)</f>
        <v>11543223.959253965</v>
      </c>
      <c r="D56" s="62">
        <f>SUM(D47:D54)</f>
        <v>20058947.26560431</v>
      </c>
      <c r="E56" s="62">
        <f>SUM(E47:E53)</f>
        <v>15547362.027387615</v>
      </c>
      <c r="F56" s="62">
        <f>SUM(F47:F54)</f>
        <v>8863322.4394321702</v>
      </c>
      <c r="G56" s="62">
        <f>SUM(G47:G54)</f>
        <v>5259946.8102523927</v>
      </c>
      <c r="H56" s="62">
        <f t="shared" ref="H56:N56" si="13">SUM(H47:H52)</f>
        <v>7939676.9339418467</v>
      </c>
      <c r="I56" s="62">
        <f t="shared" si="13"/>
        <v>5279607.1121339947</v>
      </c>
      <c r="J56" s="62">
        <f t="shared" si="13"/>
        <v>3732815.3181376127</v>
      </c>
      <c r="K56" s="62">
        <f t="shared" si="13"/>
        <v>1182617.5301841982</v>
      </c>
      <c r="L56" s="62">
        <f t="shared" si="13"/>
        <v>2455843.0736988066</v>
      </c>
      <c r="M56" s="62">
        <f t="shared" si="13"/>
        <v>2143919.1893739128</v>
      </c>
      <c r="N56" s="62">
        <f t="shared" si="13"/>
        <v>1164132.9155771837</v>
      </c>
      <c r="O56" s="71">
        <f>SUM(C56:N56)</f>
        <v>85171414.574978009</v>
      </c>
      <c r="P56" s="62">
        <f>P55-O56</f>
        <v>0</v>
      </c>
      <c r="Q56" s="2"/>
      <c r="R56" s="13"/>
    </row>
    <row r="57" spans="1:18" x14ac:dyDescent="0.25">
      <c r="A57" s="14"/>
      <c r="B57" s="7" t="s">
        <v>78</v>
      </c>
      <c r="C57" s="116">
        <f t="shared" ref="C57:N57" si="14">C17</f>
        <v>11543223.959253963</v>
      </c>
      <c r="D57" s="116">
        <f t="shared" si="14"/>
        <v>20058947.265604306</v>
      </c>
      <c r="E57" s="116">
        <f t="shared" si="14"/>
        <v>15547362.027387615</v>
      </c>
      <c r="F57" s="116">
        <f t="shared" si="14"/>
        <v>8863322.4394321721</v>
      </c>
      <c r="G57" s="116">
        <f t="shared" si="14"/>
        <v>5259946.8102523936</v>
      </c>
      <c r="H57" s="116">
        <f t="shared" si="14"/>
        <v>7939676.9339418467</v>
      </c>
      <c r="I57" s="116">
        <f t="shared" si="14"/>
        <v>5279607.1121339938</v>
      </c>
      <c r="J57" s="116">
        <f t="shared" si="14"/>
        <v>3732815.3181376127</v>
      </c>
      <c r="K57" s="116">
        <f t="shared" si="14"/>
        <v>1182617.5301841982</v>
      </c>
      <c r="L57" s="116">
        <f t="shared" si="14"/>
        <v>2455843.0736988066</v>
      </c>
      <c r="M57" s="116">
        <f t="shared" si="14"/>
        <v>2143919.1893739123</v>
      </c>
      <c r="N57" s="116">
        <f t="shared" si="14"/>
        <v>1164132.9155771839</v>
      </c>
      <c r="O57" s="71">
        <f>SUM(C57:N57)</f>
        <v>85171414.574978009</v>
      </c>
      <c r="P57" s="2"/>
      <c r="Q57" s="120"/>
      <c r="R57" s="13"/>
    </row>
    <row r="58" spans="1:18" x14ac:dyDescent="0.25">
      <c r="A58" s="19"/>
      <c r="B58" s="20"/>
      <c r="C58" s="119">
        <f>C57-C56</f>
        <v>0</v>
      </c>
      <c r="D58" s="119">
        <f t="shared" ref="D58" si="15">D57-D56</f>
        <v>0</v>
      </c>
      <c r="E58" s="119">
        <f t="shared" ref="E58" si="16">E57-E56</f>
        <v>0</v>
      </c>
      <c r="F58" s="119">
        <f t="shared" ref="F58" si="17">F57-F56</f>
        <v>0</v>
      </c>
      <c r="G58" s="119">
        <f t="shared" ref="G58" si="18">G57-G56</f>
        <v>0</v>
      </c>
      <c r="H58" s="119">
        <f t="shared" ref="H58" si="19">H57-H56</f>
        <v>0</v>
      </c>
      <c r="I58" s="119">
        <f t="shared" ref="I58" si="20">I57-I56</f>
        <v>0</v>
      </c>
      <c r="J58" s="119">
        <f t="shared" ref="J58" si="21">J57-J56</f>
        <v>0</v>
      </c>
      <c r="K58" s="119">
        <f t="shared" ref="K58" si="22">K57-K56</f>
        <v>0</v>
      </c>
      <c r="L58" s="119">
        <f t="shared" ref="L58" si="23">L57-L56</f>
        <v>0</v>
      </c>
      <c r="M58" s="119">
        <f t="shared" ref="M58" si="24">M57-M56</f>
        <v>0</v>
      </c>
      <c r="N58" s="119">
        <f t="shared" ref="N58" si="25">N57-N56</f>
        <v>0</v>
      </c>
      <c r="O58" s="20"/>
      <c r="P58" s="20"/>
      <c r="Q58" s="20"/>
      <c r="R58" s="21"/>
    </row>
    <row r="60" spans="1:18" x14ac:dyDescent="0.25">
      <c r="A60" s="59" t="s">
        <v>85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5"/>
    </row>
    <row r="61" spans="1:18" x14ac:dyDescent="0.25">
      <c r="A61" s="14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13"/>
    </row>
    <row r="62" spans="1:18" x14ac:dyDescent="0.25">
      <c r="A62" s="14"/>
      <c r="B62" s="2"/>
      <c r="C62" s="152" t="s">
        <v>11</v>
      </c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2"/>
      <c r="P62" s="7" t="s">
        <v>13</v>
      </c>
      <c r="Q62" s="2"/>
      <c r="R62" s="13"/>
    </row>
    <row r="63" spans="1:18" x14ac:dyDescent="0.25">
      <c r="A63" s="14"/>
      <c r="B63" s="2"/>
      <c r="C63" s="146" t="s">
        <v>1</v>
      </c>
      <c r="D63" s="145"/>
      <c r="E63" s="145"/>
      <c r="F63" s="147"/>
      <c r="G63" s="145" t="s">
        <v>5</v>
      </c>
      <c r="H63" s="145"/>
      <c r="I63" s="145"/>
      <c r="J63" s="147"/>
      <c r="K63" s="148" t="s">
        <v>3</v>
      </c>
      <c r="L63" s="145"/>
      <c r="M63" s="145"/>
      <c r="N63" s="149"/>
      <c r="O63" s="2"/>
      <c r="P63" s="2"/>
      <c r="Q63" s="2"/>
      <c r="R63" s="13"/>
    </row>
    <row r="64" spans="1:18" ht="15.75" thickBot="1" x14ac:dyDescent="0.3">
      <c r="A64" s="14"/>
      <c r="B64" s="2"/>
      <c r="C64" s="72" t="s">
        <v>7</v>
      </c>
      <c r="D64" s="73" t="s">
        <v>8</v>
      </c>
      <c r="E64" s="73" t="s">
        <v>9</v>
      </c>
      <c r="F64" s="74" t="s">
        <v>0</v>
      </c>
      <c r="G64" s="73" t="s">
        <v>7</v>
      </c>
      <c r="H64" s="73" t="s">
        <v>8</v>
      </c>
      <c r="I64" s="73" t="s">
        <v>9</v>
      </c>
      <c r="J64" s="74" t="s">
        <v>0</v>
      </c>
      <c r="K64" s="73" t="s">
        <v>7</v>
      </c>
      <c r="L64" s="73" t="s">
        <v>8</v>
      </c>
      <c r="M64" s="73" t="s">
        <v>9</v>
      </c>
      <c r="N64" s="75" t="s">
        <v>0</v>
      </c>
      <c r="O64" s="2"/>
      <c r="P64" s="2"/>
      <c r="Q64" s="2"/>
      <c r="R64" s="13"/>
    </row>
    <row r="65" spans="1:18" ht="15.75" thickTop="1" x14ac:dyDescent="0.25">
      <c r="A65" s="150" t="s">
        <v>10</v>
      </c>
      <c r="B65" s="7" t="s">
        <v>7</v>
      </c>
      <c r="C65" s="61">
        <f>C47</f>
        <v>4713615.5715418914</v>
      </c>
      <c r="D65" s="62">
        <f t="shared" ref="D65:N65" si="26">D47</f>
        <v>179242.2440370408</v>
      </c>
      <c r="E65" s="62">
        <f t="shared" si="26"/>
        <v>122484.17854780096</v>
      </c>
      <c r="F65" s="63">
        <f t="shared" si="26"/>
        <v>223743.8776979087</v>
      </c>
      <c r="G65" s="62">
        <f t="shared" si="26"/>
        <v>5037436.44483307</v>
      </c>
      <c r="H65" s="62">
        <f t="shared" si="26"/>
        <v>64142.738260093</v>
      </c>
      <c r="I65" s="62">
        <f t="shared" si="26"/>
        <v>30163.944288837629</v>
      </c>
      <c r="J65" s="63">
        <f t="shared" si="26"/>
        <v>40838.094569163346</v>
      </c>
      <c r="K65" s="62">
        <f t="shared" si="26"/>
        <v>1032478.8248907616</v>
      </c>
      <c r="L65" s="62">
        <f t="shared" si="26"/>
        <v>40731.300235484414</v>
      </c>
      <c r="M65" s="62">
        <f t="shared" si="26"/>
        <v>30247.624618840615</v>
      </c>
      <c r="N65" s="64">
        <f t="shared" si="26"/>
        <v>28099.115741722617</v>
      </c>
      <c r="O65" s="2"/>
      <c r="P65" s="2">
        <f>SUM(C65:N65)</f>
        <v>11543223.959262611</v>
      </c>
      <c r="Q65" s="2"/>
      <c r="R65" s="13"/>
    </row>
    <row r="66" spans="1:18" x14ac:dyDescent="0.25">
      <c r="A66" s="150"/>
      <c r="B66" s="7" t="s">
        <v>8</v>
      </c>
      <c r="C66" s="61">
        <f t="shared" ref="C66:N66" si="27">C48</f>
        <v>198844.81141525862</v>
      </c>
      <c r="D66" s="62">
        <f t="shared" si="27"/>
        <v>8634217.5919901486</v>
      </c>
      <c r="E66" s="62">
        <f t="shared" si="27"/>
        <v>281082.40790331812</v>
      </c>
      <c r="F66" s="63">
        <f t="shared" si="27"/>
        <v>405983.97575987375</v>
      </c>
      <c r="G66" s="62">
        <f t="shared" si="27"/>
        <v>73447.285121006556</v>
      </c>
      <c r="H66" s="62">
        <f t="shared" si="27"/>
        <v>7629688.654885672</v>
      </c>
      <c r="I66" s="62">
        <f t="shared" si="27"/>
        <v>81876.995589111946</v>
      </c>
      <c r="J66" s="63">
        <f t="shared" si="27"/>
        <v>102943.6215605811</v>
      </c>
      <c r="K66" s="62">
        <f t="shared" si="27"/>
        <v>83513.364710475638</v>
      </c>
      <c r="L66" s="62">
        <f t="shared" si="27"/>
        <v>2350851.9463139661</v>
      </c>
      <c r="M66" s="62">
        <f t="shared" si="27"/>
        <v>93941.975761797527</v>
      </c>
      <c r="N66" s="64">
        <f t="shared" si="27"/>
        <v>122554.63459199968</v>
      </c>
      <c r="O66" s="2"/>
      <c r="P66" s="2">
        <f t="shared" ref="P66:P69" si="28">SUM(C66:N66)</f>
        <v>20058947.265603211</v>
      </c>
      <c r="Q66" s="2"/>
      <c r="R66" s="13"/>
    </row>
    <row r="67" spans="1:18" x14ac:dyDescent="0.25">
      <c r="A67" s="150"/>
      <c r="B67" s="7" t="s">
        <v>9</v>
      </c>
      <c r="C67" s="61">
        <f t="shared" ref="C67:N67" si="29">C49</f>
        <v>126613.08773122978</v>
      </c>
      <c r="D67" s="62">
        <f t="shared" si="29"/>
        <v>289794.32510266366</v>
      </c>
      <c r="E67" s="62">
        <f t="shared" si="29"/>
        <v>7408534.3997067101</v>
      </c>
      <c r="F67" s="63">
        <f t="shared" si="29"/>
        <v>191452.55221509401</v>
      </c>
      <c r="G67" s="62">
        <f t="shared" si="29"/>
        <v>92944.076646684785</v>
      </c>
      <c r="H67" s="62">
        <f t="shared" si="29"/>
        <v>147955.27594101676</v>
      </c>
      <c r="I67" s="62">
        <f t="shared" si="29"/>
        <v>5121277.5716650067</v>
      </c>
      <c r="J67" s="63">
        <f t="shared" si="29"/>
        <v>44869.371225069728</v>
      </c>
      <c r="K67" s="62">
        <f t="shared" si="29"/>
        <v>40763.541935476154</v>
      </c>
      <c r="L67" s="62">
        <f t="shared" si="29"/>
        <v>35966.249796895187</v>
      </c>
      <c r="M67" s="62">
        <f t="shared" si="29"/>
        <v>2003980.6689266767</v>
      </c>
      <c r="N67" s="64">
        <f t="shared" si="29"/>
        <v>43210.906486728432</v>
      </c>
      <c r="O67" s="2"/>
      <c r="P67" s="2">
        <f t="shared" si="28"/>
        <v>15547362.027379252</v>
      </c>
      <c r="Q67" s="2"/>
      <c r="R67" s="13"/>
    </row>
    <row r="68" spans="1:18" x14ac:dyDescent="0.25">
      <c r="A68" s="150"/>
      <c r="B68" s="7" t="s">
        <v>0</v>
      </c>
      <c r="C68" s="61">
        <f t="shared" ref="C68:N68" si="30">C50</f>
        <v>122430.19528804292</v>
      </c>
      <c r="D68" s="62">
        <f t="shared" si="30"/>
        <v>292112.93679985608</v>
      </c>
      <c r="E68" s="62">
        <f t="shared" si="30"/>
        <v>198962.4972348201</v>
      </c>
      <c r="F68" s="63">
        <f t="shared" si="30"/>
        <v>3465182.1554059675</v>
      </c>
      <c r="G68" s="62">
        <f t="shared" si="30"/>
        <v>56119.003651631116</v>
      </c>
      <c r="H68" s="62">
        <f t="shared" si="30"/>
        <v>97890.264855064583</v>
      </c>
      <c r="I68" s="62">
        <f t="shared" si="30"/>
        <v>46288.60059103799</v>
      </c>
      <c r="J68" s="63">
        <f t="shared" si="30"/>
        <v>3544164.2307827985</v>
      </c>
      <c r="K68" s="62">
        <f t="shared" si="30"/>
        <v>25861.798647484851</v>
      </c>
      <c r="L68" s="62">
        <f t="shared" si="30"/>
        <v>28293.577352461009</v>
      </c>
      <c r="M68" s="62">
        <f t="shared" si="30"/>
        <v>15748.920066597793</v>
      </c>
      <c r="N68" s="64">
        <f t="shared" si="30"/>
        <v>970268.25875673303</v>
      </c>
      <c r="O68" s="2"/>
      <c r="P68" s="2">
        <f t="shared" si="28"/>
        <v>8863322.4394324962</v>
      </c>
      <c r="Q68" s="2"/>
      <c r="R68" s="13"/>
    </row>
    <row r="69" spans="1:18" x14ac:dyDescent="0.25">
      <c r="A69" s="57"/>
      <c r="B69" s="7" t="s">
        <v>2</v>
      </c>
      <c r="C69" s="65">
        <f>C51</f>
        <v>6381720.2932775421</v>
      </c>
      <c r="D69" s="66">
        <f>D52</f>
        <v>10663580.167674599</v>
      </c>
      <c r="E69" s="66">
        <f>E53</f>
        <v>7536298.543994966</v>
      </c>
      <c r="F69" s="67">
        <f>F54</f>
        <v>4576959.8783533275</v>
      </c>
      <c r="G69" s="66">
        <f>SUM(G51:G54)</f>
        <v>0</v>
      </c>
      <c r="H69" s="66">
        <f t="shared" ref="H69:N69" si="31">SUM(H51:H54)</f>
        <v>0</v>
      </c>
      <c r="I69" s="66">
        <f t="shared" si="31"/>
        <v>0</v>
      </c>
      <c r="J69" s="67">
        <f t="shared" si="31"/>
        <v>0</v>
      </c>
      <c r="K69" s="66">
        <f t="shared" si="31"/>
        <v>0</v>
      </c>
      <c r="L69" s="66">
        <f t="shared" si="31"/>
        <v>0</v>
      </c>
      <c r="M69" s="66">
        <f t="shared" si="31"/>
        <v>0</v>
      </c>
      <c r="N69" s="68">
        <f t="shared" si="31"/>
        <v>0</v>
      </c>
      <c r="O69" s="2"/>
      <c r="P69" s="2">
        <f t="shared" si="28"/>
        <v>29158558.883300435</v>
      </c>
      <c r="Q69" s="2"/>
      <c r="R69" s="13"/>
    </row>
    <row r="70" spans="1:18" x14ac:dyDescent="0.25">
      <c r="A70" s="14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7">
        <f>SUM(P65:P69)</f>
        <v>85171414.574978009</v>
      </c>
      <c r="Q70" s="2"/>
      <c r="R70" s="13"/>
    </row>
    <row r="71" spans="1:18" x14ac:dyDescent="0.25">
      <c r="A71" s="14"/>
      <c r="B71" s="9" t="s">
        <v>12</v>
      </c>
      <c r="C71" s="2">
        <f>SUM(C65:C69)</f>
        <v>11543223.959253965</v>
      </c>
      <c r="D71" s="2">
        <f t="shared" ref="D71:N71" si="32">SUM(D65:D69)</f>
        <v>20058947.26560431</v>
      </c>
      <c r="E71" s="2">
        <f t="shared" si="32"/>
        <v>15547362.027387615</v>
      </c>
      <c r="F71" s="2">
        <f t="shared" si="32"/>
        <v>8863322.4394321702</v>
      </c>
      <c r="G71" s="2">
        <f t="shared" si="32"/>
        <v>5259946.8102523927</v>
      </c>
      <c r="H71" s="2">
        <f t="shared" si="32"/>
        <v>7939676.9339418467</v>
      </c>
      <c r="I71" s="2">
        <f t="shared" si="32"/>
        <v>5279607.1121339947</v>
      </c>
      <c r="J71" s="2">
        <f t="shared" si="32"/>
        <v>3732815.3181376127</v>
      </c>
      <c r="K71" s="2">
        <f t="shared" si="32"/>
        <v>1182617.5301841982</v>
      </c>
      <c r="L71" s="2">
        <f t="shared" si="32"/>
        <v>2455843.0736988066</v>
      </c>
      <c r="M71" s="2">
        <f t="shared" si="32"/>
        <v>2143919.1893739128</v>
      </c>
      <c r="N71" s="2">
        <f t="shared" si="32"/>
        <v>1164132.9155771837</v>
      </c>
      <c r="O71" s="7">
        <f>SUM(C71:N71)</f>
        <v>85171414.574978009</v>
      </c>
      <c r="P71" s="2"/>
      <c r="Q71" s="2"/>
      <c r="R71" s="13"/>
    </row>
    <row r="72" spans="1:18" x14ac:dyDescent="0.25">
      <c r="A72" s="1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1"/>
    </row>
  </sheetData>
  <mergeCells count="15">
    <mergeCell ref="C63:F63"/>
    <mergeCell ref="G63:J63"/>
    <mergeCell ref="K63:N63"/>
    <mergeCell ref="A65:A68"/>
    <mergeCell ref="C4:N4"/>
    <mergeCell ref="C5:F5"/>
    <mergeCell ref="G5:J5"/>
    <mergeCell ref="K5:N5"/>
    <mergeCell ref="A7:A10"/>
    <mergeCell ref="C44:N44"/>
    <mergeCell ref="C45:F45"/>
    <mergeCell ref="G45:J45"/>
    <mergeCell ref="K45:N45"/>
    <mergeCell ref="A47:A50"/>
    <mergeCell ref="C62:N6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91"/>
  <sheetViews>
    <sheetView topLeftCell="A10" zoomScaleNormal="100" workbookViewId="0">
      <pane xSplit="2" topLeftCell="C1" activePane="topRight" state="frozen"/>
      <selection pane="topRight" activeCell="C57" sqref="C57"/>
    </sheetView>
  </sheetViews>
  <sheetFormatPr defaultRowHeight="15" x14ac:dyDescent="0.25"/>
  <cols>
    <col min="1" max="1" width="19" bestFit="1" customWidth="1"/>
    <col min="2" max="2" width="78.7109375" customWidth="1"/>
    <col min="3" max="16" width="13.85546875" customWidth="1"/>
    <col min="17" max="17" width="14.85546875" bestFit="1" customWidth="1"/>
    <col min="18" max="26" width="13.85546875" customWidth="1"/>
    <col min="27" max="29" width="15.28515625" bestFit="1" customWidth="1"/>
    <col min="30" max="30" width="11.5703125" bestFit="1" customWidth="1"/>
    <col min="31" max="31" width="12.7109375" bestFit="1" customWidth="1"/>
    <col min="32" max="32" width="12" bestFit="1" customWidth="1"/>
  </cols>
  <sheetData>
    <row r="1" spans="1:31" ht="18.75" x14ac:dyDescent="0.3">
      <c r="A1" s="6" t="s">
        <v>117</v>
      </c>
    </row>
    <row r="3" spans="1:31" x14ac:dyDescent="0.25">
      <c r="A3" s="59" t="s">
        <v>82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5"/>
    </row>
    <row r="4" spans="1:31" x14ac:dyDescent="0.25">
      <c r="A4" s="14"/>
      <c r="B4" s="2"/>
      <c r="C4" s="152" t="s">
        <v>27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2"/>
      <c r="AB4" s="7" t="s">
        <v>29</v>
      </c>
      <c r="AC4" s="7" t="s">
        <v>39</v>
      </c>
      <c r="AD4" s="2"/>
      <c r="AE4" s="13"/>
    </row>
    <row r="5" spans="1:31" ht="15" customHeight="1" x14ac:dyDescent="0.25">
      <c r="A5" s="14"/>
      <c r="B5" s="2"/>
      <c r="C5" s="157" t="s">
        <v>26</v>
      </c>
      <c r="D5" s="158"/>
      <c r="E5" s="158"/>
      <c r="F5" s="158"/>
      <c r="G5" s="158"/>
      <c r="H5" s="158"/>
      <c r="I5" s="158"/>
      <c r="J5" s="159"/>
      <c r="K5" s="157" t="s">
        <v>5</v>
      </c>
      <c r="L5" s="158"/>
      <c r="M5" s="158"/>
      <c r="N5" s="158"/>
      <c r="O5" s="158"/>
      <c r="P5" s="158"/>
      <c r="Q5" s="158"/>
      <c r="R5" s="159"/>
      <c r="S5" s="157" t="s">
        <v>3</v>
      </c>
      <c r="T5" s="158"/>
      <c r="U5" s="158"/>
      <c r="V5" s="158"/>
      <c r="W5" s="158"/>
      <c r="X5" s="158"/>
      <c r="Y5" s="158"/>
      <c r="Z5" s="160"/>
      <c r="AA5" s="2"/>
      <c r="AB5" s="2"/>
      <c r="AC5" s="2"/>
      <c r="AD5" s="2"/>
      <c r="AE5" s="13"/>
    </row>
    <row r="6" spans="1:31" ht="15.75" thickBot="1" x14ac:dyDescent="0.3">
      <c r="A6" s="14"/>
      <c r="B6" s="2"/>
      <c r="C6" s="23" t="s">
        <v>14</v>
      </c>
      <c r="D6" s="24" t="s">
        <v>22</v>
      </c>
      <c r="E6" s="24" t="s">
        <v>15</v>
      </c>
      <c r="F6" s="24" t="s">
        <v>23</v>
      </c>
      <c r="G6" s="24" t="s">
        <v>16</v>
      </c>
      <c r="H6" s="24" t="s">
        <v>24</v>
      </c>
      <c r="I6" s="24" t="s">
        <v>17</v>
      </c>
      <c r="J6" s="25" t="s">
        <v>25</v>
      </c>
      <c r="K6" s="23" t="s">
        <v>14</v>
      </c>
      <c r="L6" s="24" t="s">
        <v>22</v>
      </c>
      <c r="M6" s="24" t="s">
        <v>15</v>
      </c>
      <c r="N6" s="24" t="s">
        <v>23</v>
      </c>
      <c r="O6" s="24" t="s">
        <v>16</v>
      </c>
      <c r="P6" s="24" t="s">
        <v>24</v>
      </c>
      <c r="Q6" s="24" t="s">
        <v>17</v>
      </c>
      <c r="R6" s="25" t="s">
        <v>25</v>
      </c>
      <c r="S6" s="23" t="s">
        <v>14</v>
      </c>
      <c r="T6" s="24" t="s">
        <v>22</v>
      </c>
      <c r="U6" s="24" t="s">
        <v>15</v>
      </c>
      <c r="V6" s="24" t="s">
        <v>23</v>
      </c>
      <c r="W6" s="24" t="s">
        <v>16</v>
      </c>
      <c r="X6" s="24" t="s">
        <v>24</v>
      </c>
      <c r="Y6" s="24" t="s">
        <v>17</v>
      </c>
      <c r="Z6" s="38" t="s">
        <v>25</v>
      </c>
      <c r="AA6" s="2"/>
      <c r="AB6" s="2"/>
      <c r="AC6" s="2"/>
      <c r="AD6" s="2"/>
      <c r="AE6" s="13"/>
    </row>
    <row r="7" spans="1:31" ht="15.75" thickTop="1" x14ac:dyDescent="0.25">
      <c r="A7" s="161" t="s">
        <v>43</v>
      </c>
      <c r="B7" s="22" t="s">
        <v>14</v>
      </c>
      <c r="C7" s="83">
        <f>'BenchmarkIOMatrix-1995'!C22</f>
        <v>5564804.2664373862</v>
      </c>
      <c r="D7" s="84">
        <v>0</v>
      </c>
      <c r="E7" s="84">
        <v>0</v>
      </c>
      <c r="F7" s="84">
        <v>0</v>
      </c>
      <c r="G7" s="85">
        <v>0</v>
      </c>
      <c r="H7" s="85">
        <v>0</v>
      </c>
      <c r="I7" s="85">
        <v>0</v>
      </c>
      <c r="J7" s="86">
        <v>0</v>
      </c>
      <c r="K7" s="83">
        <f>'BenchmarkIOMatrix-1995'!G22</f>
        <v>5926949.1729290169</v>
      </c>
      <c r="L7" s="84">
        <v>0</v>
      </c>
      <c r="M7" s="84">
        <v>0</v>
      </c>
      <c r="N7" s="84">
        <v>0</v>
      </c>
      <c r="O7" s="85">
        <v>0</v>
      </c>
      <c r="P7" s="85">
        <v>0</v>
      </c>
      <c r="Q7" s="85">
        <v>0</v>
      </c>
      <c r="R7" s="86">
        <v>0</v>
      </c>
      <c r="S7" s="83">
        <f>'BenchmarkIOMatrix-1995'!K22</f>
        <v>1218234.1868745731</v>
      </c>
      <c r="T7" s="84">
        <v>0</v>
      </c>
      <c r="U7" s="84">
        <v>0</v>
      </c>
      <c r="V7" s="84">
        <v>0</v>
      </c>
      <c r="W7" s="85">
        <v>0</v>
      </c>
      <c r="X7" s="85">
        <v>0</v>
      </c>
      <c r="Y7" s="85">
        <v>0</v>
      </c>
      <c r="Z7" s="87">
        <v>0</v>
      </c>
      <c r="AA7" s="62"/>
      <c r="AB7" s="62">
        <f>SUM(C7:Z7)</f>
        <v>12709987.626240976</v>
      </c>
      <c r="AC7" s="62">
        <f>'BenchmarkIOMatrix-1995'!C35-'Alt2-Trd'!AC8</f>
        <v>12618353.187764272</v>
      </c>
      <c r="AD7" s="2"/>
      <c r="AE7" s="13"/>
    </row>
    <row r="8" spans="1:31" x14ac:dyDescent="0.25">
      <c r="A8" s="161"/>
      <c r="B8" s="22" t="s">
        <v>18</v>
      </c>
      <c r="C8" s="83">
        <v>0</v>
      </c>
      <c r="D8" s="84">
        <v>0</v>
      </c>
      <c r="E8" s="84">
        <v>0</v>
      </c>
      <c r="F8" s="84">
        <f>'BenchmarkIOMatrix-1995'!D22</f>
        <v>228785.35852844641</v>
      </c>
      <c r="G8" s="84">
        <v>0</v>
      </c>
      <c r="H8" s="84">
        <f>'BenchmarkIOMatrix-1995'!E22</f>
        <v>94560.991268332247</v>
      </c>
      <c r="I8" s="84">
        <v>0</v>
      </c>
      <c r="J8" s="86">
        <f>'BenchmarkIOMatrix-1995'!F22</f>
        <v>197436.19747258461</v>
      </c>
      <c r="K8" s="83">
        <v>0</v>
      </c>
      <c r="L8" s="84">
        <v>0</v>
      </c>
      <c r="M8" s="84">
        <v>0</v>
      </c>
      <c r="N8" s="84">
        <f>'BenchmarkIOMatrix-1995'!H22</f>
        <v>80793.271593902246</v>
      </c>
      <c r="O8" s="84">
        <v>0</v>
      </c>
      <c r="P8" s="84">
        <f>'BenchmarkIOMatrix-1995'!I22</f>
        <v>23796.918202255772</v>
      </c>
      <c r="Q8" s="84">
        <v>0</v>
      </c>
      <c r="R8" s="86">
        <f>'BenchmarkIOMatrix-1995'!J22</f>
        <v>39382.304926033845</v>
      </c>
      <c r="S8" s="83">
        <v>0</v>
      </c>
      <c r="T8" s="84">
        <v>0</v>
      </c>
      <c r="U8" s="84">
        <v>0</v>
      </c>
      <c r="V8" s="84">
        <f>'BenchmarkIOMatrix-1995'!L22</f>
        <v>51246.054381103066</v>
      </c>
      <c r="W8" s="84">
        <v>0</v>
      </c>
      <c r="X8" s="84">
        <f>'BenchmarkIOMatrix-1995'!M22</f>
        <v>23271.258425006239</v>
      </c>
      <c r="Y8" s="84">
        <v>0</v>
      </c>
      <c r="Z8" s="87">
        <f>'BenchmarkIOMatrix-1995'!N22</f>
        <v>25952.957038492499</v>
      </c>
      <c r="AA8" s="62"/>
      <c r="AB8" s="62">
        <f t="shared" ref="AB8:AB15" si="0">SUM(C8:Z8)</f>
        <v>765225.31183615688</v>
      </c>
      <c r="AC8" s="62">
        <f>C37</f>
        <v>856859.75030721189</v>
      </c>
      <c r="AD8" s="48"/>
      <c r="AE8" s="77"/>
    </row>
    <row r="9" spans="1:31" x14ac:dyDescent="0.25">
      <c r="A9" s="161"/>
      <c r="B9" s="22" t="s">
        <v>15</v>
      </c>
      <c r="C9" s="83">
        <v>0</v>
      </c>
      <c r="D9" s="84">
        <v>0</v>
      </c>
      <c r="E9" s="84">
        <f>'BenchmarkIOMatrix-1995'!D23</f>
        <v>12275066.818850553</v>
      </c>
      <c r="F9" s="84">
        <v>0</v>
      </c>
      <c r="G9" s="88">
        <v>0</v>
      </c>
      <c r="H9" s="88">
        <v>0</v>
      </c>
      <c r="I9" s="88">
        <v>0</v>
      </c>
      <c r="J9" s="89">
        <v>0</v>
      </c>
      <c r="K9" s="83">
        <v>0</v>
      </c>
      <c r="L9" s="84">
        <v>0</v>
      </c>
      <c r="M9" s="84">
        <f>'BenchmarkIOMatrix-1995'!H23</f>
        <v>10704035.358149167</v>
      </c>
      <c r="N9" s="84">
        <v>0</v>
      </c>
      <c r="O9" s="88">
        <v>0</v>
      </c>
      <c r="P9" s="88">
        <v>0</v>
      </c>
      <c r="Q9" s="88">
        <v>0</v>
      </c>
      <c r="R9" s="89">
        <v>0</v>
      </c>
      <c r="S9" s="83">
        <v>0</v>
      </c>
      <c r="T9" s="84">
        <v>0</v>
      </c>
      <c r="U9" s="84">
        <f>'BenchmarkIOMatrix-1995'!L23</f>
        <v>3294355.465238513</v>
      </c>
      <c r="V9" s="84">
        <v>0</v>
      </c>
      <c r="W9" s="88">
        <v>0</v>
      </c>
      <c r="X9" s="88">
        <v>0</v>
      </c>
      <c r="Y9" s="88">
        <v>0</v>
      </c>
      <c r="Z9" s="90">
        <v>0</v>
      </c>
      <c r="AA9" s="62"/>
      <c r="AB9" s="62">
        <f t="shared" si="0"/>
        <v>26273457.64223823</v>
      </c>
      <c r="AC9" s="62">
        <f>'BenchmarkIOMatrix-1995'!D35-'Alt2-Trd'!AC10</f>
        <v>25790012.36720321</v>
      </c>
      <c r="AD9" s="2"/>
      <c r="AE9" s="77"/>
    </row>
    <row r="10" spans="1:31" x14ac:dyDescent="0.25">
      <c r="A10" s="161"/>
      <c r="B10" s="22" t="s">
        <v>19</v>
      </c>
      <c r="C10" s="83">
        <v>0</v>
      </c>
      <c r="D10" s="84">
        <f>'BenchmarkIOMatrix-1995'!C23</f>
        <v>261470.69247068494</v>
      </c>
      <c r="E10" s="84">
        <v>0</v>
      </c>
      <c r="F10" s="84">
        <v>0</v>
      </c>
      <c r="G10" s="84">
        <v>0</v>
      </c>
      <c r="H10" s="84">
        <f>'BenchmarkIOMatrix-1995'!E23</f>
        <v>241701.14516750092</v>
      </c>
      <c r="I10" s="84">
        <v>0</v>
      </c>
      <c r="J10" s="86">
        <f>'BenchmarkIOMatrix-1995'!F23</f>
        <v>399022.63325623551</v>
      </c>
      <c r="K10" s="83">
        <v>0</v>
      </c>
      <c r="L10" s="84">
        <f>'BenchmarkIOMatrix-1995'!G23</f>
        <v>96252.139286830163</v>
      </c>
      <c r="M10" s="84">
        <v>0</v>
      </c>
      <c r="N10" s="84">
        <v>0</v>
      </c>
      <c r="O10" s="84">
        <v>0</v>
      </c>
      <c r="P10" s="84">
        <f>'BenchmarkIOMatrix-1995'!I23</f>
        <v>71946.141329368314</v>
      </c>
      <c r="Q10" s="84">
        <v>0</v>
      </c>
      <c r="R10" s="86">
        <f>'BenchmarkIOMatrix-1995'!J23</f>
        <v>110572.75313071824</v>
      </c>
      <c r="S10" s="83">
        <v>0</v>
      </c>
      <c r="T10" s="84">
        <f>'BenchmarkIOMatrix-1995'!K23</f>
        <v>109753.5638649686</v>
      </c>
      <c r="U10" s="84">
        <v>0</v>
      </c>
      <c r="V10" s="84">
        <v>0</v>
      </c>
      <c r="W10" s="84">
        <v>0</v>
      </c>
      <c r="X10" s="84">
        <f>'BenchmarkIOMatrix-1995'!M23</f>
        <v>80501.005451682257</v>
      </c>
      <c r="Y10" s="84">
        <v>0</v>
      </c>
      <c r="Z10" s="87">
        <f>'BenchmarkIOMatrix-1995'!N23</f>
        <v>126077.31593519982</v>
      </c>
      <c r="AA10" s="62"/>
      <c r="AB10" s="62">
        <f t="shared" si="0"/>
        <v>1497297.3898931886</v>
      </c>
      <c r="AC10" s="62">
        <f>D37</f>
        <v>1980742.6649342217</v>
      </c>
      <c r="AD10" s="48"/>
      <c r="AE10" s="77"/>
    </row>
    <row r="11" spans="1:31" x14ac:dyDescent="0.25">
      <c r="A11" s="161"/>
      <c r="B11" s="78" t="s">
        <v>16</v>
      </c>
      <c r="C11" s="83">
        <v>0</v>
      </c>
      <c r="D11" s="84">
        <v>0</v>
      </c>
      <c r="E11" s="84">
        <v>0</v>
      </c>
      <c r="F11" s="84">
        <v>0</v>
      </c>
      <c r="G11" s="84">
        <f>'BenchmarkIOMatrix-1995'!E24</f>
        <v>3640906.9840632132</v>
      </c>
      <c r="H11" s="84">
        <v>0</v>
      </c>
      <c r="I11" s="84">
        <v>0</v>
      </c>
      <c r="J11" s="86">
        <v>0</v>
      </c>
      <c r="K11" s="83">
        <v>0</v>
      </c>
      <c r="L11" s="84">
        <v>0</v>
      </c>
      <c r="M11" s="84">
        <v>0</v>
      </c>
      <c r="N11" s="84">
        <v>0</v>
      </c>
      <c r="O11" s="84">
        <f>'BenchmarkIOMatrix-1995'!I24</f>
        <v>2571912.3435154334</v>
      </c>
      <c r="P11" s="84">
        <v>0</v>
      </c>
      <c r="Q11" s="84">
        <v>0</v>
      </c>
      <c r="R11" s="86">
        <v>0</v>
      </c>
      <c r="S11" s="83">
        <v>0</v>
      </c>
      <c r="T11" s="84">
        <v>0</v>
      </c>
      <c r="U11" s="84">
        <v>0</v>
      </c>
      <c r="V11" s="84">
        <v>0</v>
      </c>
      <c r="W11" s="84">
        <f>'BenchmarkIOMatrix-1995'!M24</f>
        <v>981448.19822669344</v>
      </c>
      <c r="X11" s="84">
        <v>0</v>
      </c>
      <c r="Y11" s="84">
        <v>0</v>
      </c>
      <c r="Z11" s="87">
        <v>0</v>
      </c>
      <c r="AA11" s="62"/>
      <c r="AB11" s="62">
        <f t="shared" si="0"/>
        <v>7194267.5258053401</v>
      </c>
      <c r="AC11" s="62">
        <f>'BenchmarkIOMatrix-1995'!E35-'Alt2-Trd'!AC12</f>
        <v>6305494.9664561637</v>
      </c>
      <c r="AD11" s="2"/>
      <c r="AE11" s="13"/>
    </row>
    <row r="12" spans="1:31" x14ac:dyDescent="0.25">
      <c r="A12" s="161"/>
      <c r="B12" s="78" t="s">
        <v>20</v>
      </c>
      <c r="C12" s="83">
        <v>0</v>
      </c>
      <c r="D12" s="84">
        <f>'BenchmarkIOMatrix-1995'!C24</f>
        <v>95152.366388163427</v>
      </c>
      <c r="E12" s="84">
        <v>0</v>
      </c>
      <c r="F12" s="84">
        <f>'BenchmarkIOMatrix-1995'!D24</f>
        <v>235463.17281323919</v>
      </c>
      <c r="G12" s="84">
        <v>0</v>
      </c>
      <c r="H12" s="84">
        <v>0</v>
      </c>
      <c r="I12" s="84">
        <v>0</v>
      </c>
      <c r="J12" s="86">
        <f>'BenchmarkIOMatrix-1995'!F24</f>
        <v>107542.97285170347</v>
      </c>
      <c r="K12" s="83">
        <v>0</v>
      </c>
      <c r="L12" s="84">
        <f>'BenchmarkIOMatrix-1995'!G24</f>
        <v>69612.719485673399</v>
      </c>
      <c r="M12" s="84">
        <v>0</v>
      </c>
      <c r="N12" s="84">
        <f>'BenchmarkIOMatrix-1995'!H24</f>
        <v>118632.42681035015</v>
      </c>
      <c r="O12" s="84">
        <v>0</v>
      </c>
      <c r="P12" s="84">
        <v>0</v>
      </c>
      <c r="Q12" s="84">
        <v>0</v>
      </c>
      <c r="R12" s="86">
        <f>'BenchmarkIOMatrix-1995'!J24</f>
        <v>27544.246953702092</v>
      </c>
      <c r="S12" s="83">
        <v>0</v>
      </c>
      <c r="T12" s="84">
        <f>'BenchmarkIOMatrix-1995'!K24</f>
        <v>30617.293819350543</v>
      </c>
      <c r="U12" s="84">
        <v>0</v>
      </c>
      <c r="V12" s="84">
        <f>'BenchmarkIOMatrix-1995'!L24</f>
        <v>28805.311450726502</v>
      </c>
      <c r="W12" s="84">
        <v>0</v>
      </c>
      <c r="X12" s="84">
        <v>0</v>
      </c>
      <c r="Y12" s="84">
        <v>0</v>
      </c>
      <c r="Z12" s="87">
        <f>'BenchmarkIOMatrix-1995'!N24</f>
        <v>25405.79746879491</v>
      </c>
      <c r="AA12" s="62"/>
      <c r="AB12" s="62">
        <f t="shared" si="0"/>
        <v>738776.30804170354</v>
      </c>
      <c r="AC12" s="62">
        <f>E37</f>
        <v>1627548.8673902149</v>
      </c>
      <c r="AD12" s="48"/>
      <c r="AE12" s="77"/>
    </row>
    <row r="13" spans="1:31" x14ac:dyDescent="0.25">
      <c r="A13" s="161"/>
      <c r="B13" s="78" t="s">
        <v>17</v>
      </c>
      <c r="C13" s="83">
        <v>0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f>'BenchmarkIOMatrix-1995'!F25</f>
        <v>2199233.0214599343</v>
      </c>
      <c r="J13" s="86">
        <v>0</v>
      </c>
      <c r="K13" s="83">
        <v>0</v>
      </c>
      <c r="L13" s="84">
        <v>0</v>
      </c>
      <c r="M13" s="84">
        <v>0</v>
      </c>
      <c r="N13" s="84">
        <v>0</v>
      </c>
      <c r="O13" s="84">
        <v>0</v>
      </c>
      <c r="P13" s="84">
        <v>0</v>
      </c>
      <c r="Q13" s="84">
        <f>'BenchmarkIOMatrix-1995'!J25</f>
        <v>2458210.4419855447</v>
      </c>
      <c r="R13" s="86">
        <v>0</v>
      </c>
      <c r="S13" s="83">
        <v>0</v>
      </c>
      <c r="T13" s="84">
        <v>0</v>
      </c>
      <c r="U13" s="84">
        <v>0</v>
      </c>
      <c r="V13" s="84">
        <v>0</v>
      </c>
      <c r="W13" s="84">
        <v>0</v>
      </c>
      <c r="X13" s="84">
        <v>0</v>
      </c>
      <c r="Y13" s="84">
        <f>'BenchmarkIOMatrix-1995'!N25</f>
        <v>644548.46693251166</v>
      </c>
      <c r="Z13" s="87">
        <v>0</v>
      </c>
      <c r="AA13" s="62"/>
      <c r="AB13" s="62">
        <f t="shared" si="0"/>
        <v>5301991.9303779909</v>
      </c>
      <c r="AC13" s="62">
        <f>'BenchmarkIOMatrix-1995'!F35-'Alt2-Trd'!AC14</f>
        <v>4760038.6108323522</v>
      </c>
      <c r="AD13" s="2"/>
      <c r="AE13" s="77"/>
    </row>
    <row r="14" spans="1:31" x14ac:dyDescent="0.25">
      <c r="A14" s="161"/>
      <c r="B14" s="78" t="s">
        <v>21</v>
      </c>
      <c r="C14" s="83">
        <v>0</v>
      </c>
      <c r="D14" s="84">
        <f>'BenchmarkIOMatrix-1995'!C25</f>
        <v>103957.0235870342</v>
      </c>
      <c r="E14" s="84">
        <v>0</v>
      </c>
      <c r="F14" s="84">
        <f>'BenchmarkIOMatrix-1995'!D25</f>
        <v>268168.77441047278</v>
      </c>
      <c r="G14" s="84">
        <v>0</v>
      </c>
      <c r="H14" s="84">
        <f>'BenchmarkIOMatrix-1995'!E25</f>
        <v>110477.23760934155</v>
      </c>
      <c r="I14" s="84">
        <v>0</v>
      </c>
      <c r="J14" s="86">
        <v>0</v>
      </c>
      <c r="K14" s="83">
        <v>0</v>
      </c>
      <c r="L14" s="84">
        <f>'BenchmarkIOMatrix-1995'!G25</f>
        <v>47489.886967469742</v>
      </c>
      <c r="M14" s="84">
        <v>0</v>
      </c>
      <c r="N14" s="84">
        <f>'BenchmarkIOMatrix-1995'!H25</f>
        <v>88682.262198576325</v>
      </c>
      <c r="O14" s="84">
        <v>0</v>
      </c>
      <c r="P14" s="84">
        <f>'BenchmarkIOMatrix-1995'!I25</f>
        <v>26264.927119951724</v>
      </c>
      <c r="Q14" s="84">
        <v>0</v>
      </c>
      <c r="R14" s="86">
        <v>0</v>
      </c>
      <c r="S14" s="83">
        <v>0</v>
      </c>
      <c r="T14" s="84">
        <f>'BenchmarkIOMatrix-1995'!K25</f>
        <v>21947.139110096494</v>
      </c>
      <c r="U14" s="84">
        <v>0</v>
      </c>
      <c r="V14" s="84">
        <f>'BenchmarkIOMatrix-1995'!L25</f>
        <v>25602.924875657292</v>
      </c>
      <c r="W14" s="84">
        <v>0</v>
      </c>
      <c r="X14" s="84">
        <f>'BenchmarkIOMatrix-1995'!M25</f>
        <v>8714.6296226206923</v>
      </c>
      <c r="Y14" s="84">
        <v>0</v>
      </c>
      <c r="Z14" s="87">
        <v>0</v>
      </c>
      <c r="AA14" s="62"/>
      <c r="AB14" s="62">
        <f t="shared" si="0"/>
        <v>701304.80550122075</v>
      </c>
      <c r="AC14" s="62">
        <f>F37</f>
        <v>1243258.12504713</v>
      </c>
      <c r="AD14" s="48"/>
      <c r="AE14" s="77"/>
    </row>
    <row r="15" spans="1:31" x14ac:dyDescent="0.25">
      <c r="A15" s="14"/>
      <c r="B15" s="7" t="s">
        <v>2</v>
      </c>
      <c r="C15" s="91">
        <f>'BenchmarkIOMatrix-1995'!C26</f>
        <v>7449828.5891882153</v>
      </c>
      <c r="D15" s="92">
        <v>0</v>
      </c>
      <c r="E15" s="92">
        <f>'BenchmarkIOMatrix-1995'!D26</f>
        <v>14763270.907534719</v>
      </c>
      <c r="F15" s="92">
        <v>0</v>
      </c>
      <c r="G15" s="92">
        <f>'BenchmarkIOMatrix-1995'!E26</f>
        <v>3845397.4757379903</v>
      </c>
      <c r="H15" s="92">
        <v>0</v>
      </c>
      <c r="I15" s="92">
        <f>'BenchmarkIOMatrix-1995'!F26</f>
        <v>3100061.9108390249</v>
      </c>
      <c r="J15" s="93">
        <v>0</v>
      </c>
      <c r="K15" s="91">
        <v>0</v>
      </c>
      <c r="L15" s="92">
        <v>0</v>
      </c>
      <c r="M15" s="92">
        <v>0</v>
      </c>
      <c r="N15" s="92">
        <v>0</v>
      </c>
      <c r="O15" s="92">
        <v>0</v>
      </c>
      <c r="P15" s="92">
        <v>0</v>
      </c>
      <c r="Q15" s="92">
        <v>0</v>
      </c>
      <c r="R15" s="93">
        <v>0</v>
      </c>
      <c r="S15" s="91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4">
        <v>0</v>
      </c>
      <c r="AA15" s="62"/>
      <c r="AB15" s="62">
        <f t="shared" si="0"/>
        <v>29158558.883299947</v>
      </c>
      <c r="AC15" s="62">
        <f>AB15</f>
        <v>29158558.883299947</v>
      </c>
      <c r="AD15" s="48"/>
      <c r="AE15" s="13"/>
    </row>
    <row r="16" spans="1:31" x14ac:dyDescent="0.25">
      <c r="A16" s="57"/>
      <c r="B16" s="79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71">
        <f>SUM(AB7:AB15)</f>
        <v>84340867.423234761</v>
      </c>
      <c r="AC16" s="71">
        <f>SUM(AC7:AC15)</f>
        <v>84340867.423234716</v>
      </c>
      <c r="AD16" s="2"/>
      <c r="AE16" s="13"/>
    </row>
    <row r="17" spans="1:31" x14ac:dyDescent="0.25">
      <c r="A17" s="57"/>
      <c r="B17" s="80" t="s">
        <v>28</v>
      </c>
      <c r="C17" s="62">
        <f>SUM(C7:C15)</f>
        <v>13014632.855625601</v>
      </c>
      <c r="D17" s="62">
        <f t="shared" ref="D17:Z17" si="1">SUM(D7:D15)</f>
        <v>460580.08244588255</v>
      </c>
      <c r="E17" s="62">
        <f t="shared" si="1"/>
        <v>27038337.726385273</v>
      </c>
      <c r="F17" s="62">
        <f t="shared" si="1"/>
        <v>732417.3057521584</v>
      </c>
      <c r="G17" s="62">
        <f t="shared" si="1"/>
        <v>7486304.4598012036</v>
      </c>
      <c r="H17" s="62">
        <f t="shared" si="1"/>
        <v>446739.37404517474</v>
      </c>
      <c r="I17" s="62">
        <f t="shared" si="1"/>
        <v>5299294.9322989592</v>
      </c>
      <c r="J17" s="62">
        <f t="shared" si="1"/>
        <v>704001.80358052347</v>
      </c>
      <c r="K17" s="62">
        <f t="shared" si="1"/>
        <v>5926949.1729290169</v>
      </c>
      <c r="L17" s="62">
        <f t="shared" si="1"/>
        <v>213354.7457399733</v>
      </c>
      <c r="M17" s="62">
        <f t="shared" si="1"/>
        <v>10704035.358149167</v>
      </c>
      <c r="N17" s="62">
        <f t="shared" si="1"/>
        <v>288107.96060282877</v>
      </c>
      <c r="O17" s="62">
        <f t="shared" si="1"/>
        <v>2571912.3435154334</v>
      </c>
      <c r="P17" s="62">
        <f t="shared" si="1"/>
        <v>122007.9866515758</v>
      </c>
      <c r="Q17" s="62">
        <f t="shared" si="1"/>
        <v>2458210.4419855447</v>
      </c>
      <c r="R17" s="62">
        <f t="shared" si="1"/>
        <v>177499.30501045418</v>
      </c>
      <c r="S17" s="62">
        <f t="shared" si="1"/>
        <v>1218234.1868745731</v>
      </c>
      <c r="T17" s="62">
        <f t="shared" si="1"/>
        <v>162317.99679441564</v>
      </c>
      <c r="U17" s="62">
        <f t="shared" si="1"/>
        <v>3294355.465238513</v>
      </c>
      <c r="V17" s="62">
        <f t="shared" si="1"/>
        <v>105654.29070748686</v>
      </c>
      <c r="W17" s="62">
        <f t="shared" si="1"/>
        <v>981448.19822669344</v>
      </c>
      <c r="X17" s="62">
        <f t="shared" si="1"/>
        <v>112486.89349930918</v>
      </c>
      <c r="Y17" s="62">
        <f t="shared" si="1"/>
        <v>644548.46693251166</v>
      </c>
      <c r="Z17" s="62">
        <f t="shared" si="1"/>
        <v>177436.07044248722</v>
      </c>
      <c r="AA17" s="71">
        <f>SUM(C17:Z17)</f>
        <v>84340867.423234761</v>
      </c>
      <c r="AB17" s="62"/>
      <c r="AC17" s="62"/>
      <c r="AD17" s="2"/>
      <c r="AE17" s="13"/>
    </row>
    <row r="18" spans="1:31" x14ac:dyDescent="0.25">
      <c r="A18" s="57"/>
      <c r="B18" s="80" t="s">
        <v>40</v>
      </c>
      <c r="C18" s="62">
        <f>'BenchmarkIOMatrix-1995'!C35-'Alt2-Trd'!C44</f>
        <v>12964163.67218592</v>
      </c>
      <c r="D18" s="62">
        <f>C44</f>
        <v>511049.26588556339</v>
      </c>
      <c r="E18" s="62">
        <f>'BenchmarkIOMatrix-1995'!D35-'Alt2-Trd'!D44</f>
        <v>26723926.331147593</v>
      </c>
      <c r="F18" s="62">
        <f>D44</f>
        <v>1046828.700989838</v>
      </c>
      <c r="G18" s="62">
        <f>'BenchmarkIOMatrix-1995'!E35-'Alt2-Trd'!E44</f>
        <v>6903465.7455318384</v>
      </c>
      <c r="H18" s="62">
        <f>E44</f>
        <v>1029578.0883145409</v>
      </c>
      <c r="I18" s="62">
        <f>'BenchmarkIOMatrix-1995'!F35-'Alt2-Trd'!F44</f>
        <v>4938993.9418615326</v>
      </c>
      <c r="J18" s="62">
        <f>F44</f>
        <v>1064302.7940179498</v>
      </c>
      <c r="K18" s="62">
        <f>C56</f>
        <v>5903570.307426854</v>
      </c>
      <c r="L18" s="62">
        <f>C45</f>
        <v>236733.61124213575</v>
      </c>
      <c r="M18" s="62">
        <f>D56</f>
        <v>10580356.650449611</v>
      </c>
      <c r="N18" s="62">
        <f>D45</f>
        <v>411786.66830238514</v>
      </c>
      <c r="O18" s="62">
        <f>E56</f>
        <v>2412734.5718614673</v>
      </c>
      <c r="P18" s="62">
        <f>E45</f>
        <v>281185.75830554153</v>
      </c>
      <c r="Q18" s="62">
        <f>F56</f>
        <v>2367368.0960256932</v>
      </c>
      <c r="R18" s="62">
        <f>F45</f>
        <v>268341.65097030584</v>
      </c>
      <c r="S18" s="62">
        <f>C57</f>
        <v>1200447.7973453619</v>
      </c>
      <c r="T18" s="62">
        <f>C46</f>
        <v>180104.38632362717</v>
      </c>
      <c r="U18" s="62">
        <f>D57</f>
        <v>3249000.2931347159</v>
      </c>
      <c r="V18" s="62">
        <f>D46</f>
        <v>151009.4628112838</v>
      </c>
      <c r="W18" s="62">
        <f>E57</f>
        <v>834692.12480151374</v>
      </c>
      <c r="X18" s="62">
        <f>E46</f>
        <v>259242.96692448898</v>
      </c>
      <c r="Y18" s="62">
        <f>F57</f>
        <v>553738.4837838806</v>
      </c>
      <c r="Z18" s="62">
        <f>F46</f>
        <v>268246.05359111831</v>
      </c>
      <c r="AA18" s="71">
        <f>SUM(C18:Z18)</f>
        <v>84340867.423234761</v>
      </c>
      <c r="AB18" s="62"/>
      <c r="AC18" s="62"/>
      <c r="AD18" s="2"/>
      <c r="AE18" s="13"/>
    </row>
    <row r="19" spans="1:31" x14ac:dyDescent="0.25">
      <c r="A19" s="81"/>
      <c r="B19" s="82"/>
      <c r="C19" s="82"/>
      <c r="D19" s="82"/>
      <c r="E19" s="82"/>
      <c r="F19" s="82"/>
      <c r="G19" s="20"/>
      <c r="H19" s="82"/>
      <c r="I19" s="82"/>
      <c r="J19" s="82"/>
      <c r="K19" s="82"/>
      <c r="L19" s="82"/>
      <c r="M19" s="82"/>
      <c r="N19" s="82"/>
      <c r="O19" s="20"/>
      <c r="P19" s="20"/>
      <c r="Q19" s="82"/>
      <c r="R19" s="20"/>
      <c r="S19" s="82"/>
      <c r="T19" s="82"/>
      <c r="U19" s="82"/>
      <c r="V19" s="82"/>
      <c r="W19" s="20"/>
      <c r="X19" s="20"/>
      <c r="Y19" s="82"/>
      <c r="Z19" s="20"/>
      <c r="AA19" s="20"/>
      <c r="AB19" s="20"/>
      <c r="AC19" s="20"/>
      <c r="AD19" s="20"/>
      <c r="AE19" s="21"/>
    </row>
    <row r="20" spans="1:31" x14ac:dyDescent="0.25">
      <c r="A20" s="7"/>
      <c r="B20" s="5"/>
      <c r="C20" s="5"/>
      <c r="D20" s="5"/>
      <c r="E20" s="5"/>
      <c r="F20" s="5"/>
      <c r="H20" s="5"/>
      <c r="I20" s="5"/>
      <c r="J20" s="5"/>
      <c r="K20" s="5"/>
      <c r="L20" s="5"/>
      <c r="M20" s="5"/>
      <c r="N20" s="5"/>
      <c r="Q20" s="5"/>
      <c r="S20" s="5"/>
      <c r="T20" s="5"/>
      <c r="U20" s="5"/>
      <c r="V20" s="5"/>
      <c r="Y20" s="5"/>
    </row>
    <row r="21" spans="1:31" x14ac:dyDescent="0.25">
      <c r="A21" s="59" t="s">
        <v>83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6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31" x14ac:dyDescent="0.25">
      <c r="A22" s="57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31" x14ac:dyDescent="0.25">
      <c r="A23" s="57"/>
      <c r="B23" s="79"/>
      <c r="C23" s="80" t="s">
        <v>7</v>
      </c>
      <c r="D23" s="80" t="s">
        <v>8</v>
      </c>
      <c r="E23" s="80" t="s">
        <v>9</v>
      </c>
      <c r="F23" s="80" t="s">
        <v>0</v>
      </c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31" x14ac:dyDescent="0.25">
      <c r="A24" s="57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7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31" x14ac:dyDescent="0.25">
      <c r="A25" s="57"/>
      <c r="B25" s="97" t="s">
        <v>144</v>
      </c>
      <c r="C25" s="79"/>
      <c r="D25" s="79"/>
      <c r="E25" s="79"/>
      <c r="F25" s="79"/>
      <c r="G25" s="79"/>
      <c r="H25" s="79"/>
      <c r="I25" s="79"/>
      <c r="J25" s="79"/>
      <c r="K25" s="79"/>
      <c r="L25" s="77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31" x14ac:dyDescent="0.25">
      <c r="A26" s="57"/>
      <c r="B26" s="80" t="s">
        <v>88</v>
      </c>
      <c r="C26" s="79">
        <f>'BenchmarkIOMatrix-1995'!C34</f>
        <v>7449828.5891882153</v>
      </c>
      <c r="D26" s="79">
        <f>'BenchmarkIOMatrix-1995'!D34</f>
        <v>14763270.907534719</v>
      </c>
      <c r="E26" s="79">
        <f>'BenchmarkIOMatrix-1995'!E34</f>
        <v>3845397.4757379903</v>
      </c>
      <c r="F26" s="79">
        <f>'BenchmarkIOMatrix-1995'!F34</f>
        <v>3100061.9108390249</v>
      </c>
      <c r="G26" s="79"/>
      <c r="H26" s="79"/>
      <c r="I26" s="79"/>
      <c r="J26" s="79"/>
      <c r="K26" s="79"/>
      <c r="L26" s="77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31" x14ac:dyDescent="0.25">
      <c r="A27" s="57"/>
      <c r="B27" s="7" t="s">
        <v>143</v>
      </c>
      <c r="C27" s="114">
        <f>('BenchmarkIOMatrix-2011'!C38+'BenchmarkIOMatrix-2011'!C39)/SUM('BenchmarkIOMatrix-2011'!$C34:$F34)</f>
        <v>6.1208340950646943E-2</v>
      </c>
      <c r="D27" s="114">
        <f>('BenchmarkIOMatrix-2011'!D38+'BenchmarkIOMatrix-2011'!D39)/SUM('BenchmarkIOMatrix-2011'!$C34:$F34)</f>
        <v>0.12313254270923685</v>
      </c>
      <c r="E27" s="114">
        <f>('BenchmarkIOMatrix-2011'!E38+'BenchmarkIOMatrix-2011'!E39)/SUM('BenchmarkIOMatrix-2011'!$C34:$F34)</f>
        <v>0.10966096416946484</v>
      </c>
      <c r="F27" s="114">
        <f>('BenchmarkIOMatrix-2011'!F38+'BenchmarkIOMatrix-2011'!F39)/SUM('BenchmarkIOMatrix-2011'!$C34:$F34)</f>
        <v>9.7540781593820139E-2</v>
      </c>
      <c r="G27" s="79"/>
      <c r="H27" s="79"/>
      <c r="I27" s="79"/>
      <c r="J27" s="79"/>
      <c r="K27" s="2"/>
      <c r="L27" s="13"/>
      <c r="M27" s="5"/>
      <c r="N27" s="5"/>
      <c r="O27" s="5"/>
      <c r="P27" s="5"/>
      <c r="Q27" s="5"/>
      <c r="R27" s="5"/>
      <c r="U27" s="5"/>
      <c r="V27" s="5"/>
      <c r="W27" s="5"/>
      <c r="X27" s="5"/>
      <c r="Y27" s="5"/>
      <c r="Z27" s="5"/>
    </row>
    <row r="28" spans="1:31" x14ac:dyDescent="0.25">
      <c r="A28" s="57"/>
      <c r="B28" s="7" t="s">
        <v>118</v>
      </c>
      <c r="C28" s="114">
        <f>C27*SUM($C26:$F26)</f>
        <v>1784747.0137585383</v>
      </c>
      <c r="D28" s="114">
        <f t="shared" ref="D28:F28" si="2">D27*SUM($C26:$F26)</f>
        <v>3590367.4970377283</v>
      </c>
      <c r="E28" s="114">
        <f t="shared" si="2"/>
        <v>3197555.6809347863</v>
      </c>
      <c r="F28" s="114">
        <f t="shared" si="2"/>
        <v>2844148.6236265041</v>
      </c>
      <c r="G28" s="2"/>
      <c r="H28" s="2"/>
      <c r="I28" s="2"/>
      <c r="J28" s="2"/>
      <c r="K28" s="2"/>
      <c r="L28" s="13"/>
    </row>
    <row r="29" spans="1:31" x14ac:dyDescent="0.25">
      <c r="A29" s="98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7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31" x14ac:dyDescent="0.25">
      <c r="A30" s="98"/>
      <c r="B30" s="97" t="s">
        <v>124</v>
      </c>
      <c r="C30" s="79"/>
      <c r="D30" s="79"/>
      <c r="E30" s="79"/>
      <c r="F30" s="79"/>
      <c r="G30" s="2"/>
      <c r="H30" s="2"/>
      <c r="I30" s="2"/>
      <c r="J30" s="2"/>
      <c r="K30" s="79"/>
      <c r="L30" s="77"/>
      <c r="M30" s="5"/>
      <c r="N30" s="5"/>
      <c r="S30" s="5"/>
      <c r="T30" s="5"/>
      <c r="U30" s="5"/>
      <c r="V30" s="5"/>
    </row>
    <row r="31" spans="1:31" x14ac:dyDescent="0.25">
      <c r="A31" s="14"/>
      <c r="B31" s="43" t="s">
        <v>123</v>
      </c>
      <c r="C31" s="122">
        <f>'BenchmarkIOMatrix-1995'!C40</f>
        <v>-71027.51314411452</v>
      </c>
      <c r="D31" s="122">
        <f>'BenchmarkIOMatrix-1995'!D40</f>
        <v>371117.83283071453</v>
      </c>
      <c r="E31" s="122">
        <f>'BenchmarkIOMatrix-1995'!E40</f>
        <v>57542.053845643764</v>
      </c>
      <c r="F31" s="122">
        <f>'BenchmarkIOMatrix-1995'!F40</f>
        <v>-357632.37353224424</v>
      </c>
      <c r="G31" s="99"/>
      <c r="H31" s="99"/>
      <c r="I31" s="100"/>
      <c r="J31" s="99"/>
      <c r="K31" s="99"/>
      <c r="L31" s="101"/>
      <c r="M31" s="4"/>
      <c r="N31" s="4"/>
      <c r="O31" s="4"/>
      <c r="P31" s="4"/>
      <c r="Q31" s="1"/>
      <c r="R31" s="4"/>
      <c r="S31" s="4"/>
      <c r="T31" s="4"/>
      <c r="U31" s="4"/>
      <c r="V31" s="4"/>
      <c r="W31" s="4"/>
      <c r="X31" s="4"/>
      <c r="Y31" s="1"/>
      <c r="Z31" s="4"/>
    </row>
    <row r="32" spans="1:31" x14ac:dyDescent="0.25">
      <c r="A32" s="57"/>
      <c r="B32" s="43" t="s">
        <v>120</v>
      </c>
      <c r="C32" s="114">
        <f>(C28-C31)/2</f>
        <v>927887.26345132641</v>
      </c>
      <c r="D32" s="114">
        <f t="shared" ref="D32:F32" si="3">(D28-D31)/2</f>
        <v>1609624.8321035069</v>
      </c>
      <c r="E32" s="114">
        <f t="shared" si="3"/>
        <v>1570006.8135445714</v>
      </c>
      <c r="F32" s="114">
        <f t="shared" si="3"/>
        <v>1600890.498579374</v>
      </c>
      <c r="G32" s="138"/>
      <c r="H32" s="2"/>
      <c r="I32" s="2"/>
      <c r="J32" s="2"/>
      <c r="K32" s="2"/>
      <c r="L32" s="13"/>
    </row>
    <row r="33" spans="1:26" x14ac:dyDescent="0.25">
      <c r="A33" s="57"/>
      <c r="B33" s="43" t="s">
        <v>121</v>
      </c>
      <c r="C33" s="114">
        <f>C28-C32</f>
        <v>856859.75030721189</v>
      </c>
      <c r="D33" s="114">
        <f t="shared" ref="D33:F33" si="4">D28-D32</f>
        <v>1980742.6649342214</v>
      </c>
      <c r="E33" s="114">
        <f t="shared" si="4"/>
        <v>1627548.8673902149</v>
      </c>
      <c r="F33" s="114">
        <f t="shared" si="4"/>
        <v>1243258.12504713</v>
      </c>
      <c r="G33" s="2"/>
      <c r="H33" s="2"/>
      <c r="I33" s="2"/>
      <c r="J33" s="2"/>
      <c r="K33" s="2"/>
      <c r="L33" s="13"/>
    </row>
    <row r="34" spans="1:26" x14ac:dyDescent="0.25">
      <c r="A34" s="57"/>
      <c r="B34" s="43" t="s">
        <v>122</v>
      </c>
      <c r="C34" s="114">
        <f>C33-C32</f>
        <v>-71027.51314411452</v>
      </c>
      <c r="D34" s="114">
        <f t="shared" ref="D34:F34" si="5">D33-D32</f>
        <v>371117.83283071453</v>
      </c>
      <c r="E34" s="114">
        <f t="shared" si="5"/>
        <v>57542.053845643532</v>
      </c>
      <c r="F34" s="114">
        <f t="shared" si="5"/>
        <v>-357632.373532244</v>
      </c>
      <c r="G34" s="2"/>
      <c r="H34" s="2"/>
      <c r="I34" s="2"/>
      <c r="J34" s="2"/>
      <c r="K34" s="2"/>
      <c r="L34" s="13"/>
    </row>
    <row r="35" spans="1:26" x14ac:dyDescent="0.25">
      <c r="A35" s="57"/>
      <c r="B35" s="43" t="s">
        <v>125</v>
      </c>
      <c r="C35" s="114">
        <f>-C26/SUM($C$26:$F$26)*SUM($C$34:$F$34)</f>
        <v>1.1897353312101605E-10</v>
      </c>
      <c r="D35" s="114">
        <f t="shared" ref="D35:F35" si="6">-D26/SUM($C$26:$F$26)*SUM($C$34:$F$34)</f>
        <v>2.3576898169726994E-10</v>
      </c>
      <c r="E35" s="114">
        <f t="shared" si="6"/>
        <v>6.1410879252597379E-11</v>
      </c>
      <c r="F35" s="114">
        <f t="shared" si="6"/>
        <v>4.9507893236855915E-11</v>
      </c>
      <c r="G35" s="2"/>
      <c r="H35" s="2"/>
      <c r="I35" s="2"/>
      <c r="J35" s="2"/>
      <c r="K35" s="2"/>
      <c r="L35" s="13"/>
    </row>
    <row r="36" spans="1:26" x14ac:dyDescent="0.25">
      <c r="A36" s="57"/>
      <c r="B36" s="43" t="s">
        <v>126</v>
      </c>
      <c r="C36" s="114">
        <f>C32-C$35*(C32/(C$32+C$33))</f>
        <v>927887.26345132629</v>
      </c>
      <c r="D36" s="114">
        <f t="shared" ref="D36:F36" si="7">D32-D$35*(D32/(D$32+D$33))</f>
        <v>1609624.8321035069</v>
      </c>
      <c r="E36" s="114">
        <f t="shared" si="7"/>
        <v>1570006.8135445714</v>
      </c>
      <c r="F36" s="114">
        <f t="shared" si="7"/>
        <v>1600890.498579374</v>
      </c>
      <c r="G36" s="2"/>
      <c r="H36" s="2"/>
      <c r="I36" s="2"/>
      <c r="J36" s="2"/>
      <c r="K36" s="2"/>
      <c r="L36" s="13"/>
    </row>
    <row r="37" spans="1:26" x14ac:dyDescent="0.25">
      <c r="A37" s="57"/>
      <c r="B37" s="43" t="s">
        <v>127</v>
      </c>
      <c r="C37" s="114">
        <f>C33+C$35*(C33/(C$32+C$33))</f>
        <v>856859.75030721189</v>
      </c>
      <c r="D37" s="114">
        <f t="shared" ref="D37:F37" si="8">D33+D$35*(D33/(D$32+D$33))</f>
        <v>1980742.6649342217</v>
      </c>
      <c r="E37" s="114">
        <f t="shared" si="8"/>
        <v>1627548.8673902149</v>
      </c>
      <c r="F37" s="114">
        <f t="shared" si="8"/>
        <v>1243258.12504713</v>
      </c>
      <c r="G37" s="2"/>
      <c r="H37" s="2"/>
      <c r="I37" s="2"/>
      <c r="J37" s="2"/>
      <c r="K37" s="2"/>
      <c r="L37" s="13"/>
    </row>
    <row r="38" spans="1:26" x14ac:dyDescent="0.25">
      <c r="A38" s="57"/>
      <c r="B38" s="43" t="s">
        <v>128</v>
      </c>
      <c r="C38" s="114">
        <f>C37-C36</f>
        <v>-71027.513144114404</v>
      </c>
      <c r="D38" s="114">
        <f t="shared" ref="D38:F38" si="9">D37-D36</f>
        <v>371117.83283071476</v>
      </c>
      <c r="E38" s="114">
        <f t="shared" si="9"/>
        <v>57542.053845643532</v>
      </c>
      <c r="F38" s="114">
        <f t="shared" si="9"/>
        <v>-357632.373532244</v>
      </c>
      <c r="G38" s="2"/>
      <c r="H38" s="2"/>
      <c r="I38" s="2"/>
      <c r="J38" s="2"/>
      <c r="K38" s="2"/>
      <c r="L38" s="13"/>
    </row>
    <row r="39" spans="1:26" x14ac:dyDescent="0.25">
      <c r="A39" s="14"/>
      <c r="B39" s="43"/>
      <c r="C39" s="138"/>
      <c r="D39" s="138"/>
      <c r="E39" s="138"/>
      <c r="F39" s="138"/>
      <c r="G39" s="2"/>
      <c r="H39" s="2"/>
      <c r="I39" s="2"/>
      <c r="J39" s="2"/>
      <c r="K39" s="2"/>
      <c r="L39" s="13"/>
    </row>
    <row r="40" spans="1:26" x14ac:dyDescent="0.25">
      <c r="A40" s="14"/>
      <c r="B40" s="44" t="s">
        <v>129</v>
      </c>
      <c r="C40" s="43"/>
      <c r="D40" s="43"/>
      <c r="E40" s="43"/>
      <c r="F40" s="43"/>
      <c r="G40" s="8"/>
      <c r="H40" s="8"/>
      <c r="I40" s="8"/>
      <c r="J40" s="8"/>
      <c r="K40" s="8"/>
      <c r="L40" s="13"/>
      <c r="O40" s="156"/>
      <c r="P40" s="156"/>
      <c r="Q40" s="156"/>
      <c r="R40" s="156"/>
      <c r="S40" s="8"/>
      <c r="W40" s="156"/>
      <c r="X40" s="156"/>
      <c r="Y40" s="156"/>
      <c r="Z40" s="156"/>
    </row>
    <row r="41" spans="1:26" x14ac:dyDescent="0.25">
      <c r="A41" s="14"/>
      <c r="B41" s="43" t="s">
        <v>130</v>
      </c>
      <c r="C41" s="45">
        <f>'BenchmarkIOMatrix-1995'!C49/'BenchmarkIOMatrix-1995'!C39</f>
        <v>0.55076654892824839</v>
      </c>
      <c r="D41" s="45">
        <f>'BenchmarkIOMatrix-1995'!D49/'BenchmarkIOMatrix-1995'!D39</f>
        <v>0.65035571029418715</v>
      </c>
      <c r="E41" s="45">
        <f>'BenchmarkIOMatrix-1995'!E49/'BenchmarkIOMatrix-1995'!E39</f>
        <v>0.65577937588059509</v>
      </c>
      <c r="F41" s="45">
        <f>'BenchmarkIOMatrix-1995'!F49/'BenchmarkIOMatrix-1995'!F39</f>
        <v>0.6648192333969184</v>
      </c>
      <c r="G41" s="12"/>
      <c r="H41" s="12"/>
      <c r="I41" s="12"/>
      <c r="J41" s="12"/>
      <c r="K41" s="12"/>
      <c r="L41" s="105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57"/>
      <c r="B42" s="43" t="s">
        <v>131</v>
      </c>
      <c r="C42" s="45">
        <f>'BenchmarkIOMatrix-1995'!C68/'BenchmarkIOMatrix-1995'!C39</f>
        <v>0.25513186845737318</v>
      </c>
      <c r="D42" s="45">
        <f>'BenchmarkIOMatrix-1995'!D68/'BenchmarkIOMatrix-1995'!D39</f>
        <v>0.25582773084101201</v>
      </c>
      <c r="E42" s="45">
        <f>'BenchmarkIOMatrix-1995'!E68/'BenchmarkIOMatrix-1995'!E39</f>
        <v>0.17909843185375379</v>
      </c>
      <c r="F42" s="45">
        <f>'BenchmarkIOMatrix-1995'!F68/'BenchmarkIOMatrix-1995'!F39</f>
        <v>0.1676202408649633</v>
      </c>
      <c r="G42" s="2"/>
      <c r="H42" s="2"/>
      <c r="I42" s="79"/>
      <c r="J42" s="2"/>
      <c r="K42" s="79"/>
      <c r="L42" s="77"/>
      <c r="M42" s="5"/>
      <c r="N42" s="5"/>
      <c r="Q42" s="5"/>
      <c r="S42" s="5"/>
      <c r="T42" s="5"/>
      <c r="U42" s="5"/>
      <c r="V42" s="5"/>
      <c r="Y42" s="5"/>
    </row>
    <row r="43" spans="1:26" x14ac:dyDescent="0.25">
      <c r="A43" s="57"/>
      <c r="B43" s="43" t="s">
        <v>132</v>
      </c>
      <c r="C43" s="45">
        <f>'BenchmarkIOMatrix-1995'!C77/'BenchmarkIOMatrix-1995'!C39</f>
        <v>0.19410158261437849</v>
      </c>
      <c r="D43" s="45">
        <f>'BenchmarkIOMatrix-1995'!D77/'BenchmarkIOMatrix-1995'!D39</f>
        <v>9.3816558864800823E-2</v>
      </c>
      <c r="E43" s="45">
        <f>'BenchmarkIOMatrix-1995'!E77/'BenchmarkIOMatrix-1995'!E39</f>
        <v>0.16512219226565111</v>
      </c>
      <c r="F43" s="45">
        <f>'BenchmarkIOMatrix-1995'!F77/'BenchmarkIOMatrix-1995'!F39</f>
        <v>0.16756052573811833</v>
      </c>
      <c r="G43" s="2"/>
      <c r="H43" s="2"/>
      <c r="I43" s="79"/>
      <c r="J43" s="2"/>
      <c r="K43" s="79"/>
      <c r="L43" s="77"/>
      <c r="M43" s="5"/>
      <c r="N43" s="5"/>
      <c r="Q43" s="5"/>
      <c r="S43" s="5"/>
      <c r="T43" s="5"/>
      <c r="U43" s="5"/>
      <c r="V43" s="5"/>
      <c r="Y43" s="5"/>
    </row>
    <row r="44" spans="1:26" x14ac:dyDescent="0.25">
      <c r="A44" s="57"/>
      <c r="B44" s="43" t="s">
        <v>133</v>
      </c>
      <c r="C44" s="143">
        <f>C41*C36</f>
        <v>511049.26588556339</v>
      </c>
      <c r="D44" s="143">
        <f t="shared" ref="D44:F44" si="10">D41*D36</f>
        <v>1046828.700989838</v>
      </c>
      <c r="E44" s="143">
        <f t="shared" si="10"/>
        <v>1029578.0883145409</v>
      </c>
      <c r="F44" s="143">
        <f t="shared" si="10"/>
        <v>1064302.7940179498</v>
      </c>
      <c r="G44" s="2"/>
      <c r="H44" s="79"/>
      <c r="I44" s="79"/>
      <c r="J44" s="79"/>
      <c r="K44" s="79"/>
      <c r="L44" s="77"/>
      <c r="M44" s="5"/>
      <c r="N44" s="5"/>
      <c r="P44" s="5"/>
      <c r="Q44" s="5"/>
      <c r="R44" s="5"/>
      <c r="S44" s="5"/>
      <c r="T44" s="5"/>
      <c r="U44" s="5"/>
      <c r="V44" s="5"/>
      <c r="X44" s="5"/>
      <c r="Y44" s="5"/>
      <c r="Z44" s="5"/>
    </row>
    <row r="45" spans="1:26" x14ac:dyDescent="0.25">
      <c r="A45" s="57"/>
      <c r="B45" s="106" t="s">
        <v>134</v>
      </c>
      <c r="C45" s="143">
        <f>C42*C36</f>
        <v>236733.61124213575</v>
      </c>
      <c r="D45" s="143">
        <f t="shared" ref="D45:F45" si="11">D42*D36</f>
        <v>411786.66830238514</v>
      </c>
      <c r="E45" s="143">
        <f t="shared" si="11"/>
        <v>281185.75830554153</v>
      </c>
      <c r="F45" s="143">
        <f t="shared" si="11"/>
        <v>268341.65097030584</v>
      </c>
      <c r="G45" s="79"/>
      <c r="H45" s="79"/>
      <c r="I45" s="79"/>
      <c r="J45" s="79"/>
      <c r="K45" s="79"/>
      <c r="L45" s="77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5">
      <c r="A46" s="57"/>
      <c r="B46" s="106" t="s">
        <v>135</v>
      </c>
      <c r="C46" s="143">
        <f>C43*C36</f>
        <v>180104.38632362717</v>
      </c>
      <c r="D46" s="143">
        <f t="shared" ref="D46:F46" si="12">D43*D36</f>
        <v>151009.4628112838</v>
      </c>
      <c r="E46" s="143">
        <f t="shared" si="12"/>
        <v>259242.96692448898</v>
      </c>
      <c r="F46" s="143">
        <f t="shared" si="12"/>
        <v>268246.05359111831</v>
      </c>
      <c r="G46" s="79"/>
      <c r="H46" s="79"/>
      <c r="I46" s="79"/>
      <c r="J46" s="79"/>
      <c r="K46" s="79"/>
      <c r="L46" s="77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5">
      <c r="A47" s="57"/>
      <c r="B47" s="106"/>
      <c r="C47" s="79"/>
      <c r="D47" s="79"/>
      <c r="E47" s="79"/>
      <c r="F47" s="79"/>
      <c r="G47" s="79"/>
      <c r="H47" s="79"/>
      <c r="I47" s="79"/>
      <c r="J47" s="79"/>
      <c r="K47" s="79"/>
      <c r="L47" s="77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5">
      <c r="A48" s="57"/>
      <c r="B48" s="107" t="s">
        <v>87</v>
      </c>
      <c r="C48" s="79"/>
      <c r="D48" s="79"/>
      <c r="E48" s="79"/>
      <c r="F48" s="79"/>
      <c r="G48" s="79"/>
      <c r="H48" s="79"/>
      <c r="I48" s="79"/>
      <c r="J48" s="79"/>
      <c r="K48" s="79"/>
      <c r="L48" s="7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30" x14ac:dyDescent="0.25">
      <c r="A49" s="57"/>
      <c r="B49" s="106" t="s">
        <v>136</v>
      </c>
      <c r="C49" s="79">
        <f>'BenchmarkIOMatrix-1995'!G28</f>
        <v>6140303.91866899</v>
      </c>
      <c r="D49" s="79">
        <f>'BenchmarkIOMatrix-1995'!H28</f>
        <v>10992143.318751996</v>
      </c>
      <c r="E49" s="79">
        <f>'BenchmarkIOMatrix-1995'!I28</f>
        <v>2693920.330167009</v>
      </c>
      <c r="F49" s="79">
        <f>'BenchmarkIOMatrix-1995'!J28</f>
        <v>2635709.746995999</v>
      </c>
      <c r="G49" s="79"/>
      <c r="H49" s="2"/>
      <c r="I49" s="79"/>
      <c r="J49" s="2"/>
      <c r="K49" s="79"/>
      <c r="L49" s="77"/>
      <c r="M49" s="5"/>
      <c r="N49" s="5"/>
      <c r="Q49" s="5"/>
      <c r="S49" s="5"/>
      <c r="T49" s="5"/>
      <c r="U49" s="5"/>
      <c r="V49" s="5"/>
      <c r="Y49" s="5"/>
    </row>
    <row r="50" spans="1:30" x14ac:dyDescent="0.25">
      <c r="A50" s="57"/>
      <c r="B50" s="106" t="s">
        <v>137</v>
      </c>
      <c r="C50" s="79">
        <f>'BenchmarkIOMatrix-1995'!K28</f>
        <v>1380552.183668989</v>
      </c>
      <c r="D50" s="79">
        <f>'BenchmarkIOMatrix-1995'!L28</f>
        <v>3400009.7559459996</v>
      </c>
      <c r="E50" s="79">
        <f>'BenchmarkIOMatrix-1995'!M28</f>
        <v>1093935.0917260027</v>
      </c>
      <c r="F50" s="79">
        <f>'BenchmarkIOMatrix-1995'!N28</f>
        <v>821984.53737499891</v>
      </c>
      <c r="G50" s="2"/>
      <c r="H50" s="2"/>
      <c r="I50" s="79"/>
      <c r="J50" s="2"/>
      <c r="K50" s="79"/>
      <c r="L50" s="77"/>
      <c r="M50" s="5"/>
      <c r="N50" s="5"/>
      <c r="Q50" s="5"/>
      <c r="S50" s="5"/>
      <c r="T50" s="5"/>
      <c r="U50" s="5"/>
      <c r="V50" s="5"/>
      <c r="Y50" s="5"/>
    </row>
    <row r="51" spans="1:30" x14ac:dyDescent="0.25">
      <c r="A51" s="57"/>
      <c r="B51" s="106" t="s">
        <v>138</v>
      </c>
      <c r="C51" s="79">
        <f>'BenchmarkIOMatrix-1995'!C40-'Alt2-Trd'!C38</f>
        <v>-1.1641532182693481E-10</v>
      </c>
      <c r="D51" s="79">
        <f>'BenchmarkIOMatrix-1995'!D40-'Alt2-Trd'!D38</f>
        <v>0</v>
      </c>
      <c r="E51" s="79">
        <f>'BenchmarkIOMatrix-1995'!E40-'Alt2-Trd'!E38</f>
        <v>2.3283064365386963E-10</v>
      </c>
      <c r="F51" s="79">
        <f>'BenchmarkIOMatrix-1995'!F40-'Alt2-Trd'!F38</f>
        <v>0</v>
      </c>
      <c r="G51" s="79"/>
      <c r="H51" s="79"/>
      <c r="I51" s="79"/>
      <c r="J51" s="79"/>
      <c r="K51" s="79"/>
      <c r="L51" s="77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30" x14ac:dyDescent="0.25">
      <c r="A52" s="57"/>
      <c r="B52" s="106" t="s">
        <v>107</v>
      </c>
      <c r="C52" s="79">
        <f>C49/(C49+C50)</f>
        <v>0.81643683047734128</v>
      </c>
      <c r="D52" s="79">
        <f t="shared" ref="D52:F52" si="13">D49/(D49+D50)</f>
        <v>0.76375947793917243</v>
      </c>
      <c r="E52" s="79">
        <f t="shared" si="13"/>
        <v>0.71119935428282532</v>
      </c>
      <c r="F52" s="79">
        <f t="shared" si="13"/>
        <v>0.76227379583833588</v>
      </c>
      <c r="G52" s="79"/>
      <c r="H52" s="79"/>
      <c r="I52" s="79"/>
      <c r="J52" s="79"/>
      <c r="K52" s="79"/>
      <c r="L52" s="77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30" x14ac:dyDescent="0.25">
      <c r="A53" s="57"/>
      <c r="B53" s="106" t="s">
        <v>108</v>
      </c>
      <c r="C53" s="79">
        <f>1-C52</f>
        <v>0.18356316952265872</v>
      </c>
      <c r="D53" s="79">
        <f t="shared" ref="D53:F53" si="14">1-D52</f>
        <v>0.23624052206082757</v>
      </c>
      <c r="E53" s="79">
        <f t="shared" si="14"/>
        <v>0.28880064571717468</v>
      </c>
      <c r="F53" s="79">
        <f t="shared" si="14"/>
        <v>0.23772620416166412</v>
      </c>
      <c r="G53" s="79"/>
      <c r="H53" s="79"/>
      <c r="I53" s="79"/>
      <c r="J53" s="79"/>
      <c r="K53" s="79"/>
      <c r="L53" s="77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30" x14ac:dyDescent="0.25">
      <c r="A54" s="57"/>
      <c r="B54" s="43" t="s">
        <v>139</v>
      </c>
      <c r="C54" s="2">
        <f>C49+C51*C52</f>
        <v>6140303.91866899</v>
      </c>
      <c r="D54" s="2">
        <f t="shared" ref="D54:F54" si="15">D49+D51*D52</f>
        <v>10992143.318751996</v>
      </c>
      <c r="E54" s="2">
        <f t="shared" si="15"/>
        <v>2693920.330167009</v>
      </c>
      <c r="F54" s="2">
        <f t="shared" si="15"/>
        <v>2635709.746995999</v>
      </c>
      <c r="G54" s="2"/>
      <c r="H54" s="79"/>
      <c r="I54" s="79"/>
      <c r="J54" s="79"/>
      <c r="K54" s="2"/>
      <c r="L54" s="13"/>
      <c r="M54" s="5"/>
      <c r="N54" s="5"/>
      <c r="P54" s="5"/>
      <c r="Q54" s="5"/>
      <c r="R54" s="5"/>
      <c r="U54" s="5"/>
      <c r="V54" s="5"/>
      <c r="X54" s="5"/>
      <c r="Y54" s="5"/>
      <c r="Z54" s="5"/>
    </row>
    <row r="55" spans="1:30" x14ac:dyDescent="0.25">
      <c r="A55" s="57"/>
      <c r="B55" s="43" t="s">
        <v>140</v>
      </c>
      <c r="C55" s="2">
        <f>C50+C51*C53</f>
        <v>1380552.183668989</v>
      </c>
      <c r="D55" s="2">
        <f t="shared" ref="D55:F55" si="16">D50+D51*D53</f>
        <v>3400009.7559459996</v>
      </c>
      <c r="E55" s="2">
        <f t="shared" si="16"/>
        <v>1093935.0917260027</v>
      </c>
      <c r="F55" s="2">
        <f t="shared" si="16"/>
        <v>821984.53737499891</v>
      </c>
      <c r="G55" s="2"/>
      <c r="H55" s="2"/>
      <c r="I55" s="2"/>
      <c r="J55" s="2"/>
      <c r="K55" s="2"/>
      <c r="L55" s="13"/>
    </row>
    <row r="56" spans="1:30" x14ac:dyDescent="0.25">
      <c r="A56" s="98"/>
      <c r="B56" s="106" t="s">
        <v>141</v>
      </c>
      <c r="C56" s="79">
        <f>C54-C45</f>
        <v>5903570.307426854</v>
      </c>
      <c r="D56" s="79">
        <f t="shared" ref="D56:F57" si="17">D54-D45</f>
        <v>10580356.650449611</v>
      </c>
      <c r="E56" s="79">
        <f t="shared" si="17"/>
        <v>2412734.5718614673</v>
      </c>
      <c r="F56" s="79">
        <f t="shared" si="17"/>
        <v>2367368.0960256932</v>
      </c>
      <c r="G56" s="79"/>
      <c r="H56" s="79"/>
      <c r="I56" s="79"/>
      <c r="J56" s="79"/>
      <c r="K56" s="79"/>
      <c r="L56" s="77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30" x14ac:dyDescent="0.25">
      <c r="A57" s="98"/>
      <c r="B57" s="106" t="s">
        <v>142</v>
      </c>
      <c r="C57" s="79">
        <f>C55-C46</f>
        <v>1200447.7973453619</v>
      </c>
      <c r="D57" s="79">
        <f t="shared" si="17"/>
        <v>3249000.2931347159</v>
      </c>
      <c r="E57" s="79">
        <f t="shared" si="17"/>
        <v>834692.12480151374</v>
      </c>
      <c r="F57" s="79">
        <f t="shared" si="17"/>
        <v>553738.4837838806</v>
      </c>
      <c r="G57" s="79"/>
      <c r="H57" s="79"/>
      <c r="I57" s="79"/>
      <c r="J57" s="79"/>
      <c r="K57" s="79"/>
      <c r="L57" s="77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30" x14ac:dyDescent="0.25">
      <c r="A58" s="108"/>
      <c r="B58" s="109"/>
      <c r="C58" s="144"/>
      <c r="D58" s="144"/>
      <c r="E58" s="144"/>
      <c r="F58" s="144"/>
      <c r="G58" s="110"/>
      <c r="H58" s="110"/>
      <c r="I58" s="110"/>
      <c r="J58" s="110"/>
      <c r="K58" s="110"/>
      <c r="L58" s="1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60" spans="1:30" x14ac:dyDescent="0.25">
      <c r="A60" s="59" t="s">
        <v>84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5"/>
    </row>
    <row r="61" spans="1:30" x14ac:dyDescent="0.25">
      <c r="A61" s="14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13"/>
    </row>
    <row r="62" spans="1:30" ht="15" customHeight="1" x14ac:dyDescent="0.25">
      <c r="A62" s="14"/>
      <c r="B62" s="2"/>
      <c r="C62" s="157" t="s">
        <v>26</v>
      </c>
      <c r="D62" s="158"/>
      <c r="E62" s="158"/>
      <c r="F62" s="158"/>
      <c r="G62" s="158"/>
      <c r="H62" s="158"/>
      <c r="I62" s="158"/>
      <c r="J62" s="159"/>
      <c r="K62" s="157" t="s">
        <v>5</v>
      </c>
      <c r="L62" s="158"/>
      <c r="M62" s="158"/>
      <c r="N62" s="158"/>
      <c r="O62" s="158"/>
      <c r="P62" s="158"/>
      <c r="Q62" s="158"/>
      <c r="R62" s="159"/>
      <c r="S62" s="157" t="s">
        <v>3</v>
      </c>
      <c r="T62" s="158"/>
      <c r="U62" s="158"/>
      <c r="V62" s="158"/>
      <c r="W62" s="158"/>
      <c r="X62" s="158"/>
      <c r="Y62" s="158"/>
      <c r="Z62" s="160"/>
      <c r="AA62" s="2"/>
      <c r="AB62" s="2"/>
      <c r="AC62" s="2"/>
      <c r="AD62" s="13"/>
    </row>
    <row r="63" spans="1:30" ht="15.75" thickBot="1" x14ac:dyDescent="0.3">
      <c r="A63" s="14"/>
      <c r="B63" s="2"/>
      <c r="C63" s="23" t="s">
        <v>14</v>
      </c>
      <c r="D63" s="24" t="s">
        <v>22</v>
      </c>
      <c r="E63" s="24" t="s">
        <v>15</v>
      </c>
      <c r="F63" s="24" t="s">
        <v>23</v>
      </c>
      <c r="G63" s="24" t="s">
        <v>16</v>
      </c>
      <c r="H63" s="24" t="s">
        <v>24</v>
      </c>
      <c r="I63" s="24" t="s">
        <v>17</v>
      </c>
      <c r="J63" s="25" t="s">
        <v>25</v>
      </c>
      <c r="K63" s="23" t="s">
        <v>14</v>
      </c>
      <c r="L63" s="24" t="s">
        <v>22</v>
      </c>
      <c r="M63" s="24" t="s">
        <v>15</v>
      </c>
      <c r="N63" s="24" t="s">
        <v>23</v>
      </c>
      <c r="O63" s="24" t="s">
        <v>16</v>
      </c>
      <c r="P63" s="24" t="s">
        <v>24</v>
      </c>
      <c r="Q63" s="24" t="s">
        <v>17</v>
      </c>
      <c r="R63" s="25" t="s">
        <v>25</v>
      </c>
      <c r="S63" s="23" t="s">
        <v>14</v>
      </c>
      <c r="T63" s="24" t="s">
        <v>22</v>
      </c>
      <c r="U63" s="24" t="s">
        <v>15</v>
      </c>
      <c r="V63" s="24" t="s">
        <v>23</v>
      </c>
      <c r="W63" s="24" t="s">
        <v>16</v>
      </c>
      <c r="X63" s="24" t="s">
        <v>24</v>
      </c>
      <c r="Y63" s="24" t="s">
        <v>17</v>
      </c>
      <c r="Z63" s="38" t="s">
        <v>25</v>
      </c>
      <c r="AA63" s="2"/>
      <c r="AB63" s="9" t="s">
        <v>75</v>
      </c>
      <c r="AC63" s="9" t="s">
        <v>39</v>
      </c>
      <c r="AD63" s="112" t="s">
        <v>76</v>
      </c>
    </row>
    <row r="64" spans="1:30" ht="15.75" thickTop="1" x14ac:dyDescent="0.25">
      <c r="A64" s="161" t="s">
        <v>43</v>
      </c>
      <c r="B64" s="22" t="s">
        <v>14</v>
      </c>
      <c r="C64" s="26">
        <v>5514335.082989132</v>
      </c>
      <c r="D64" s="27">
        <v>0</v>
      </c>
      <c r="E64" s="27">
        <v>0</v>
      </c>
      <c r="F64" s="27">
        <v>0</v>
      </c>
      <c r="G64" s="28">
        <v>0</v>
      </c>
      <c r="H64" s="28">
        <v>0</v>
      </c>
      <c r="I64" s="28">
        <v>0</v>
      </c>
      <c r="J64" s="29">
        <v>0</v>
      </c>
      <c r="K64" s="26">
        <v>5903570.307426854</v>
      </c>
      <c r="L64" s="27">
        <v>0</v>
      </c>
      <c r="M64" s="27">
        <v>0</v>
      </c>
      <c r="N64" s="27">
        <v>0</v>
      </c>
      <c r="O64" s="28">
        <v>0</v>
      </c>
      <c r="P64" s="28">
        <v>0</v>
      </c>
      <c r="Q64" s="28">
        <v>0</v>
      </c>
      <c r="R64" s="29">
        <v>0</v>
      </c>
      <c r="S64" s="26">
        <v>1200447.7973453619</v>
      </c>
      <c r="T64" s="27">
        <v>0</v>
      </c>
      <c r="U64" s="27">
        <v>0</v>
      </c>
      <c r="V64" s="27">
        <v>0</v>
      </c>
      <c r="W64" s="28">
        <v>0</v>
      </c>
      <c r="X64" s="28">
        <v>0</v>
      </c>
      <c r="Y64" s="28">
        <v>0</v>
      </c>
      <c r="Z64" s="39">
        <v>0</v>
      </c>
      <c r="AA64" s="2"/>
      <c r="AB64" s="48">
        <f>SUM(C64:Z64)</f>
        <v>12618353.187761348</v>
      </c>
      <c r="AC64" s="48">
        <f t="shared" ref="AC64:AC72" si="18">AC7</f>
        <v>12618353.187764272</v>
      </c>
      <c r="AD64" s="52">
        <f>AC64-AB64</f>
        <v>2.9243528842926025E-6</v>
      </c>
    </row>
    <row r="65" spans="1:30" x14ac:dyDescent="0.25">
      <c r="A65" s="161"/>
      <c r="B65" s="22" t="s">
        <v>18</v>
      </c>
      <c r="C65" s="26">
        <v>0</v>
      </c>
      <c r="D65" s="27">
        <v>0</v>
      </c>
      <c r="E65" s="27">
        <v>0</v>
      </c>
      <c r="F65" s="27">
        <v>180078.57991006409</v>
      </c>
      <c r="G65" s="30">
        <v>0</v>
      </c>
      <c r="H65" s="30">
        <v>174583.97854961603</v>
      </c>
      <c r="I65" s="30">
        <v>0</v>
      </c>
      <c r="J65" s="29">
        <v>229360.51816816593</v>
      </c>
      <c r="K65" s="26">
        <v>0</v>
      </c>
      <c r="L65" s="27">
        <v>0</v>
      </c>
      <c r="M65" s="27">
        <v>0</v>
      </c>
      <c r="N65" s="27">
        <v>60267.569003432698</v>
      </c>
      <c r="O65" s="30">
        <v>0</v>
      </c>
      <c r="P65" s="30">
        <v>44689.92211495019</v>
      </c>
      <c r="Q65" s="30">
        <v>0</v>
      </c>
      <c r="R65" s="29">
        <v>45429.929800433085</v>
      </c>
      <c r="S65" s="26">
        <v>0</v>
      </c>
      <c r="T65" s="27">
        <v>0</v>
      </c>
      <c r="U65" s="27">
        <v>0</v>
      </c>
      <c r="V65" s="27">
        <v>44733.697760554089</v>
      </c>
      <c r="W65" s="27">
        <v>0</v>
      </c>
      <c r="X65" s="27">
        <v>47515.790100380276</v>
      </c>
      <c r="Y65" s="27">
        <v>0</v>
      </c>
      <c r="Z65" s="39">
        <v>30199.764899615377</v>
      </c>
      <c r="AA65" s="2"/>
      <c r="AB65" s="48">
        <f t="shared" ref="AB65:AB72" si="19">SUM(C65:Z65)</f>
        <v>856859.75030721189</v>
      </c>
      <c r="AC65" s="48">
        <f t="shared" si="18"/>
        <v>856859.75030721189</v>
      </c>
      <c r="AD65" s="52">
        <f t="shared" ref="AD65:AD72" si="20">AC65-AB65</f>
        <v>0</v>
      </c>
    </row>
    <row r="66" spans="1:30" x14ac:dyDescent="0.25">
      <c r="A66" s="161"/>
      <c r="B66" s="22" t="s">
        <v>15</v>
      </c>
      <c r="C66" s="26">
        <v>0</v>
      </c>
      <c r="D66" s="27">
        <v>0</v>
      </c>
      <c r="E66" s="27">
        <v>11960655.423615998</v>
      </c>
      <c r="F66" s="27">
        <v>0</v>
      </c>
      <c r="G66" s="35">
        <v>0</v>
      </c>
      <c r="H66" s="35">
        <v>0</v>
      </c>
      <c r="I66" s="35">
        <v>0</v>
      </c>
      <c r="J66" s="36">
        <v>0</v>
      </c>
      <c r="K66" s="26">
        <v>0</v>
      </c>
      <c r="L66" s="27">
        <v>0</v>
      </c>
      <c r="M66" s="27">
        <v>10580356.650449611</v>
      </c>
      <c r="N66" s="27">
        <v>0</v>
      </c>
      <c r="O66" s="35">
        <v>0</v>
      </c>
      <c r="P66" s="35">
        <v>0</v>
      </c>
      <c r="Q66" s="35">
        <v>0</v>
      </c>
      <c r="R66" s="36">
        <v>0</v>
      </c>
      <c r="S66" s="26">
        <v>0</v>
      </c>
      <c r="T66" s="27">
        <v>0</v>
      </c>
      <c r="U66" s="27">
        <v>3249000.2931347159</v>
      </c>
      <c r="V66" s="27">
        <v>0</v>
      </c>
      <c r="W66" s="35">
        <v>0</v>
      </c>
      <c r="X66" s="35">
        <v>0</v>
      </c>
      <c r="Y66" s="35">
        <v>0</v>
      </c>
      <c r="Z66" s="40">
        <v>0</v>
      </c>
      <c r="AA66" s="2"/>
      <c r="AB66" s="48">
        <f t="shared" si="19"/>
        <v>25790012.367200326</v>
      </c>
      <c r="AC66" s="48">
        <f t="shared" si="18"/>
        <v>25790012.36720321</v>
      </c>
      <c r="AD66" s="52">
        <f t="shared" si="20"/>
        <v>2.8833746910095215E-6</v>
      </c>
    </row>
    <row r="67" spans="1:30" x14ac:dyDescent="0.25">
      <c r="A67" s="161"/>
      <c r="B67" s="22" t="s">
        <v>19</v>
      </c>
      <c r="C67" s="26">
        <v>0</v>
      </c>
      <c r="D67" s="27">
        <v>202081.86769775505</v>
      </c>
      <c r="E67" s="27">
        <v>0</v>
      </c>
      <c r="F67" s="27">
        <v>0</v>
      </c>
      <c r="G67" s="27">
        <v>0</v>
      </c>
      <c r="H67" s="27">
        <v>487864.62345947616</v>
      </c>
      <c r="I67" s="27">
        <v>0</v>
      </c>
      <c r="J67" s="37">
        <v>506777.89395577332</v>
      </c>
      <c r="K67" s="26">
        <v>0</v>
      </c>
      <c r="L67" s="27">
        <v>66686.06976471431</v>
      </c>
      <c r="M67" s="27">
        <v>0</v>
      </c>
      <c r="N67" s="27">
        <v>0</v>
      </c>
      <c r="O67" s="27">
        <v>0</v>
      </c>
      <c r="P67" s="27">
        <v>147715.01249409033</v>
      </c>
      <c r="Q67" s="27">
        <v>0</v>
      </c>
      <c r="R67" s="37">
        <v>139449.61111438568</v>
      </c>
      <c r="S67" s="26">
        <v>0</v>
      </c>
      <c r="T67" s="27">
        <v>90076.057231714585</v>
      </c>
      <c r="U67" s="27">
        <v>0</v>
      </c>
      <c r="V67" s="27">
        <v>0</v>
      </c>
      <c r="W67" s="27">
        <v>0</v>
      </c>
      <c r="X67" s="27">
        <v>179699.81912671364</v>
      </c>
      <c r="Y67" s="27">
        <v>0</v>
      </c>
      <c r="Z67" s="39">
        <v>160391.7100895987</v>
      </c>
      <c r="AA67" s="2"/>
      <c r="AB67" s="48">
        <f t="shared" si="19"/>
        <v>1980742.6649342217</v>
      </c>
      <c r="AC67" s="48">
        <f t="shared" si="18"/>
        <v>1980742.6649342217</v>
      </c>
      <c r="AD67" s="52">
        <f t="shared" si="20"/>
        <v>0</v>
      </c>
    </row>
    <row r="68" spans="1:30" x14ac:dyDescent="0.25">
      <c r="A68" s="161"/>
      <c r="B68" s="78" t="s">
        <v>16</v>
      </c>
      <c r="C68" s="26">
        <v>0</v>
      </c>
      <c r="D68" s="27">
        <v>0</v>
      </c>
      <c r="E68" s="27">
        <v>0</v>
      </c>
      <c r="F68" s="27">
        <v>0</v>
      </c>
      <c r="G68" s="27">
        <v>3058068.2697933149</v>
      </c>
      <c r="H68" s="27">
        <v>0</v>
      </c>
      <c r="I68" s="27">
        <v>0</v>
      </c>
      <c r="J68" s="37">
        <v>0</v>
      </c>
      <c r="K68" s="26">
        <v>0</v>
      </c>
      <c r="L68" s="27">
        <v>0</v>
      </c>
      <c r="M68" s="27">
        <v>0</v>
      </c>
      <c r="N68" s="27">
        <v>0</v>
      </c>
      <c r="O68" s="27">
        <v>2412734.5718614673</v>
      </c>
      <c r="P68" s="27">
        <v>0</v>
      </c>
      <c r="Q68" s="27">
        <v>0</v>
      </c>
      <c r="R68" s="37">
        <v>0</v>
      </c>
      <c r="S68" s="26">
        <v>0</v>
      </c>
      <c r="T68" s="27">
        <v>0</v>
      </c>
      <c r="U68" s="27">
        <v>0</v>
      </c>
      <c r="V68" s="27">
        <v>0</v>
      </c>
      <c r="W68" s="27">
        <v>834692.12480151374</v>
      </c>
      <c r="X68" s="27">
        <v>0</v>
      </c>
      <c r="Y68" s="27">
        <v>0</v>
      </c>
      <c r="Z68" s="39">
        <v>0</v>
      </c>
      <c r="AA68" s="2"/>
      <c r="AB68" s="48">
        <f t="shared" si="19"/>
        <v>6305494.9664562959</v>
      </c>
      <c r="AC68" s="48">
        <f t="shared" si="18"/>
        <v>6305494.9664561637</v>
      </c>
      <c r="AD68" s="52">
        <f t="shared" si="20"/>
        <v>-1.3224780559539795E-7</v>
      </c>
    </row>
    <row r="69" spans="1:30" x14ac:dyDescent="0.25">
      <c r="A69" s="161"/>
      <c r="B69" s="78" t="s">
        <v>20</v>
      </c>
      <c r="C69" s="26">
        <v>0</v>
      </c>
      <c r="D69" s="27">
        <v>176690.49842322656</v>
      </c>
      <c r="E69" s="27">
        <v>0</v>
      </c>
      <c r="F69" s="27">
        <v>486826.64801207441</v>
      </c>
      <c r="G69" s="27">
        <v>0</v>
      </c>
      <c r="H69" s="27">
        <v>0</v>
      </c>
      <c r="I69" s="27">
        <v>0</v>
      </c>
      <c r="J69" s="37">
        <v>328164.38189401041</v>
      </c>
      <c r="K69" s="26">
        <v>0</v>
      </c>
      <c r="L69" s="27">
        <v>115878.43045278685</v>
      </c>
      <c r="M69" s="27">
        <v>0</v>
      </c>
      <c r="N69" s="27">
        <v>232449.92765922833</v>
      </c>
      <c r="O69" s="27">
        <v>0</v>
      </c>
      <c r="P69" s="27">
        <v>0</v>
      </c>
      <c r="Q69" s="27">
        <v>0</v>
      </c>
      <c r="R69" s="37">
        <v>83462.110055487094</v>
      </c>
      <c r="S69" s="26">
        <v>0</v>
      </c>
      <c r="T69" s="27">
        <v>60373.563590639933</v>
      </c>
      <c r="U69" s="27">
        <v>0</v>
      </c>
      <c r="V69" s="27">
        <v>66048.728700856824</v>
      </c>
      <c r="W69" s="27">
        <v>0</v>
      </c>
      <c r="X69" s="27">
        <v>0</v>
      </c>
      <c r="Y69" s="27">
        <v>0</v>
      </c>
      <c r="Z69" s="39">
        <v>77654.578601904213</v>
      </c>
      <c r="AA69" s="2"/>
      <c r="AB69" s="48">
        <f t="shared" si="19"/>
        <v>1627548.8673902149</v>
      </c>
      <c r="AC69" s="48">
        <f t="shared" si="18"/>
        <v>1627548.8673902149</v>
      </c>
      <c r="AD69" s="52">
        <f t="shared" si="20"/>
        <v>0</v>
      </c>
    </row>
    <row r="70" spans="1:30" x14ac:dyDescent="0.25">
      <c r="A70" s="161"/>
      <c r="B70" s="78" t="s">
        <v>17</v>
      </c>
      <c r="C70" s="26">
        <v>0</v>
      </c>
      <c r="D70" s="27">
        <v>0</v>
      </c>
      <c r="E70" s="27">
        <v>0</v>
      </c>
      <c r="F70" s="27">
        <v>0</v>
      </c>
      <c r="G70" s="27">
        <v>0</v>
      </c>
      <c r="H70" s="27">
        <v>0</v>
      </c>
      <c r="I70" s="27">
        <v>1838932.0310286223</v>
      </c>
      <c r="J70" s="37">
        <v>0</v>
      </c>
      <c r="K70" s="26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2367368.0960256932</v>
      </c>
      <c r="R70" s="37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553738.48378388071</v>
      </c>
      <c r="Z70" s="39">
        <v>0</v>
      </c>
      <c r="AA70" s="2"/>
      <c r="AB70" s="48">
        <f t="shared" si="19"/>
        <v>4760038.6108381953</v>
      </c>
      <c r="AC70" s="48">
        <f t="shared" si="18"/>
        <v>4760038.6108323522</v>
      </c>
      <c r="AD70" s="52">
        <f t="shared" si="20"/>
        <v>-5.8431178331375122E-6</v>
      </c>
    </row>
    <row r="71" spans="1:30" x14ac:dyDescent="0.25">
      <c r="A71" s="161"/>
      <c r="B71" s="78" t="s">
        <v>21</v>
      </c>
      <c r="C71" s="26">
        <v>0</v>
      </c>
      <c r="D71" s="27">
        <v>132276.89976458176</v>
      </c>
      <c r="E71" s="27">
        <v>0</v>
      </c>
      <c r="F71" s="27">
        <v>379923.47306769941</v>
      </c>
      <c r="G71" s="30">
        <v>0</v>
      </c>
      <c r="H71" s="30">
        <v>367129.48630544863</v>
      </c>
      <c r="I71" s="30">
        <v>0</v>
      </c>
      <c r="J71" s="29">
        <v>0</v>
      </c>
      <c r="K71" s="26">
        <v>0</v>
      </c>
      <c r="L71" s="27">
        <v>54169.111024634592</v>
      </c>
      <c r="M71" s="27">
        <v>0</v>
      </c>
      <c r="N71" s="27">
        <v>119069.17163972408</v>
      </c>
      <c r="O71" s="27">
        <v>0</v>
      </c>
      <c r="P71" s="27">
        <v>88780.823696501015</v>
      </c>
      <c r="Q71" s="27">
        <v>0</v>
      </c>
      <c r="R71" s="37">
        <v>0</v>
      </c>
      <c r="S71" s="26">
        <v>0</v>
      </c>
      <c r="T71" s="27">
        <v>29654.76550127265</v>
      </c>
      <c r="U71" s="27">
        <v>0</v>
      </c>
      <c r="V71" s="27">
        <v>40227.036349872891</v>
      </c>
      <c r="W71" s="27">
        <v>0</v>
      </c>
      <c r="X71" s="27">
        <v>32027.357697395102</v>
      </c>
      <c r="Y71" s="27">
        <v>0</v>
      </c>
      <c r="Z71" s="39">
        <v>0</v>
      </c>
      <c r="AA71" s="2"/>
      <c r="AB71" s="48">
        <f t="shared" si="19"/>
        <v>1243258.12504713</v>
      </c>
      <c r="AC71" s="48">
        <f t="shared" si="18"/>
        <v>1243258.12504713</v>
      </c>
      <c r="AD71" s="52">
        <f t="shared" si="20"/>
        <v>0</v>
      </c>
    </row>
    <row r="72" spans="1:30" x14ac:dyDescent="0.25">
      <c r="A72" s="14"/>
      <c r="B72" s="7" t="s">
        <v>2</v>
      </c>
      <c r="C72" s="31">
        <v>7449828.5891967863</v>
      </c>
      <c r="D72" s="32">
        <v>0</v>
      </c>
      <c r="E72" s="32">
        <v>14763270.907531595</v>
      </c>
      <c r="F72" s="32">
        <v>0</v>
      </c>
      <c r="G72" s="33">
        <v>3845397.4757385231</v>
      </c>
      <c r="H72" s="33">
        <v>0</v>
      </c>
      <c r="I72" s="33">
        <v>3100061.9108329108</v>
      </c>
      <c r="J72" s="34">
        <v>0</v>
      </c>
      <c r="K72" s="31">
        <v>0</v>
      </c>
      <c r="L72" s="32">
        <v>0</v>
      </c>
      <c r="M72" s="32">
        <v>0</v>
      </c>
      <c r="N72" s="32">
        <v>0</v>
      </c>
      <c r="O72" s="33">
        <v>0</v>
      </c>
      <c r="P72" s="33">
        <v>0</v>
      </c>
      <c r="Q72" s="33">
        <v>0</v>
      </c>
      <c r="R72" s="34">
        <v>0</v>
      </c>
      <c r="S72" s="31">
        <v>0</v>
      </c>
      <c r="T72" s="32">
        <v>0</v>
      </c>
      <c r="U72" s="32">
        <v>0</v>
      </c>
      <c r="V72" s="32">
        <v>0</v>
      </c>
      <c r="W72" s="32">
        <v>0</v>
      </c>
      <c r="X72" s="32">
        <v>0</v>
      </c>
      <c r="Y72" s="32">
        <v>0</v>
      </c>
      <c r="Z72" s="41">
        <v>0</v>
      </c>
      <c r="AA72" s="2"/>
      <c r="AB72" s="48">
        <f t="shared" si="19"/>
        <v>29158558.883299816</v>
      </c>
      <c r="AC72" s="48">
        <f t="shared" si="18"/>
        <v>29158558.883299947</v>
      </c>
      <c r="AD72" s="52">
        <f t="shared" si="20"/>
        <v>1.3038516044616699E-7</v>
      </c>
    </row>
    <row r="73" spans="1:30" x14ac:dyDescent="0.25">
      <c r="A73" s="57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2"/>
      <c r="AB73" s="60">
        <f>SUM(AB64:AB72)</f>
        <v>84340867.423234761</v>
      </c>
      <c r="AC73" s="60">
        <f>SUM(AC64:AC72)</f>
        <v>84340867.423234716</v>
      </c>
      <c r="AD73" s="13"/>
    </row>
    <row r="74" spans="1:30" x14ac:dyDescent="0.25">
      <c r="A74" s="57"/>
      <c r="B74" s="80" t="s">
        <v>74</v>
      </c>
      <c r="C74" s="79">
        <f>SUM(C64:C72)</f>
        <v>12964163.672185918</v>
      </c>
      <c r="D74" s="79">
        <f t="shared" ref="D74:Z74" si="21">SUM(D64:D72)</f>
        <v>511049.26588556339</v>
      </c>
      <c r="E74" s="79">
        <f t="shared" si="21"/>
        <v>26723926.331147593</v>
      </c>
      <c r="F74" s="79">
        <f t="shared" si="21"/>
        <v>1046828.700989838</v>
      </c>
      <c r="G74" s="79">
        <f t="shared" si="21"/>
        <v>6903465.7455318384</v>
      </c>
      <c r="H74" s="79">
        <f t="shared" si="21"/>
        <v>1029578.0883145409</v>
      </c>
      <c r="I74" s="79">
        <f t="shared" si="21"/>
        <v>4938993.9418615326</v>
      </c>
      <c r="J74" s="79">
        <f t="shared" si="21"/>
        <v>1064302.7940179496</v>
      </c>
      <c r="K74" s="79">
        <f t="shared" si="21"/>
        <v>5903570.307426854</v>
      </c>
      <c r="L74" s="79">
        <f t="shared" si="21"/>
        <v>236733.61124213575</v>
      </c>
      <c r="M74" s="79">
        <f t="shared" si="21"/>
        <v>10580356.650449611</v>
      </c>
      <c r="N74" s="79">
        <f t="shared" si="21"/>
        <v>411786.66830238514</v>
      </c>
      <c r="O74" s="79">
        <f t="shared" si="21"/>
        <v>2412734.5718614673</v>
      </c>
      <c r="P74" s="79">
        <f t="shared" si="21"/>
        <v>281185.75830554153</v>
      </c>
      <c r="Q74" s="79">
        <f t="shared" si="21"/>
        <v>2367368.0960256932</v>
      </c>
      <c r="R74" s="79">
        <f t="shared" si="21"/>
        <v>268341.65097030584</v>
      </c>
      <c r="S74" s="79">
        <f t="shared" si="21"/>
        <v>1200447.7973453619</v>
      </c>
      <c r="T74" s="79">
        <f t="shared" si="21"/>
        <v>180104.38632362717</v>
      </c>
      <c r="U74" s="79">
        <f t="shared" si="21"/>
        <v>3249000.2931347159</v>
      </c>
      <c r="V74" s="79">
        <f t="shared" si="21"/>
        <v>151009.4628112838</v>
      </c>
      <c r="W74" s="79">
        <f t="shared" si="21"/>
        <v>834692.12480151374</v>
      </c>
      <c r="X74" s="79">
        <f t="shared" si="21"/>
        <v>259242.96692448904</v>
      </c>
      <c r="Y74" s="79">
        <f t="shared" si="21"/>
        <v>553738.48378388071</v>
      </c>
      <c r="Z74" s="79">
        <f t="shared" si="21"/>
        <v>268246.05359111831</v>
      </c>
      <c r="AA74" s="80">
        <f>SUM(C74:Z74)</f>
        <v>84340867.423234761</v>
      </c>
      <c r="AB74" s="2"/>
      <c r="AC74" s="2"/>
      <c r="AD74" s="13"/>
    </row>
    <row r="75" spans="1:30" x14ac:dyDescent="0.25">
      <c r="A75" s="57"/>
      <c r="B75" s="80" t="s">
        <v>40</v>
      </c>
      <c r="C75" s="79">
        <f t="shared" ref="C75:Z75" si="22">C18</f>
        <v>12964163.67218592</v>
      </c>
      <c r="D75" s="79">
        <f t="shared" si="22"/>
        <v>511049.26588556339</v>
      </c>
      <c r="E75" s="79">
        <f t="shared" si="22"/>
        <v>26723926.331147593</v>
      </c>
      <c r="F75" s="79">
        <f t="shared" si="22"/>
        <v>1046828.700989838</v>
      </c>
      <c r="G75" s="79">
        <f t="shared" si="22"/>
        <v>6903465.7455318384</v>
      </c>
      <c r="H75" s="79">
        <f t="shared" si="22"/>
        <v>1029578.0883145409</v>
      </c>
      <c r="I75" s="79">
        <f t="shared" si="22"/>
        <v>4938993.9418615326</v>
      </c>
      <c r="J75" s="79">
        <f t="shared" si="22"/>
        <v>1064302.7940179498</v>
      </c>
      <c r="K75" s="79">
        <f t="shared" si="22"/>
        <v>5903570.307426854</v>
      </c>
      <c r="L75" s="79">
        <f t="shared" si="22"/>
        <v>236733.61124213575</v>
      </c>
      <c r="M75" s="79">
        <f t="shared" si="22"/>
        <v>10580356.650449611</v>
      </c>
      <c r="N75" s="79">
        <f t="shared" si="22"/>
        <v>411786.66830238514</v>
      </c>
      <c r="O75" s="79">
        <f t="shared" si="22"/>
        <v>2412734.5718614673</v>
      </c>
      <c r="P75" s="79">
        <f t="shared" si="22"/>
        <v>281185.75830554153</v>
      </c>
      <c r="Q75" s="79">
        <f t="shared" si="22"/>
        <v>2367368.0960256932</v>
      </c>
      <c r="R75" s="79">
        <f t="shared" si="22"/>
        <v>268341.65097030584</v>
      </c>
      <c r="S75" s="79">
        <f t="shared" si="22"/>
        <v>1200447.7973453619</v>
      </c>
      <c r="T75" s="79">
        <f t="shared" si="22"/>
        <v>180104.38632362717</v>
      </c>
      <c r="U75" s="79">
        <f t="shared" si="22"/>
        <v>3249000.2931347159</v>
      </c>
      <c r="V75" s="79">
        <f t="shared" si="22"/>
        <v>151009.4628112838</v>
      </c>
      <c r="W75" s="79">
        <f t="shared" si="22"/>
        <v>834692.12480151374</v>
      </c>
      <c r="X75" s="79">
        <f t="shared" si="22"/>
        <v>259242.96692448898</v>
      </c>
      <c r="Y75" s="79">
        <f t="shared" si="22"/>
        <v>553738.4837838806</v>
      </c>
      <c r="Z75" s="79">
        <f t="shared" si="22"/>
        <v>268246.05359111831</v>
      </c>
      <c r="AA75" s="80">
        <f>SUM(C75:Z75)</f>
        <v>84340867.423234761</v>
      </c>
      <c r="AB75" s="2"/>
      <c r="AC75" s="2"/>
      <c r="AD75" s="13"/>
    </row>
    <row r="76" spans="1:30" x14ac:dyDescent="0.25">
      <c r="A76" s="14"/>
      <c r="B76" s="7" t="s">
        <v>76</v>
      </c>
      <c r="C76" s="79">
        <f>C75-C75</f>
        <v>0</v>
      </c>
      <c r="D76" s="79">
        <f t="shared" ref="D76:Z76" si="23">D75-D75</f>
        <v>0</v>
      </c>
      <c r="E76" s="79">
        <f t="shared" si="23"/>
        <v>0</v>
      </c>
      <c r="F76" s="79">
        <f t="shared" si="23"/>
        <v>0</v>
      </c>
      <c r="G76" s="79">
        <f t="shared" si="23"/>
        <v>0</v>
      </c>
      <c r="H76" s="79">
        <f t="shared" si="23"/>
        <v>0</v>
      </c>
      <c r="I76" s="79">
        <f t="shared" si="23"/>
        <v>0</v>
      </c>
      <c r="J76" s="79">
        <f t="shared" si="23"/>
        <v>0</v>
      </c>
      <c r="K76" s="79">
        <f t="shared" si="23"/>
        <v>0</v>
      </c>
      <c r="L76" s="79">
        <f t="shared" si="23"/>
        <v>0</v>
      </c>
      <c r="M76" s="79">
        <f t="shared" si="23"/>
        <v>0</v>
      </c>
      <c r="N76" s="79">
        <f t="shared" si="23"/>
        <v>0</v>
      </c>
      <c r="O76" s="79">
        <f t="shared" si="23"/>
        <v>0</v>
      </c>
      <c r="P76" s="79">
        <f t="shared" si="23"/>
        <v>0</v>
      </c>
      <c r="Q76" s="79">
        <f t="shared" si="23"/>
        <v>0</v>
      </c>
      <c r="R76" s="79">
        <f t="shared" si="23"/>
        <v>0</v>
      </c>
      <c r="S76" s="79">
        <f t="shared" si="23"/>
        <v>0</v>
      </c>
      <c r="T76" s="79">
        <f t="shared" si="23"/>
        <v>0</v>
      </c>
      <c r="U76" s="79">
        <f t="shared" si="23"/>
        <v>0</v>
      </c>
      <c r="V76" s="79">
        <f t="shared" si="23"/>
        <v>0</v>
      </c>
      <c r="W76" s="79">
        <f t="shared" si="23"/>
        <v>0</v>
      </c>
      <c r="X76" s="79">
        <f t="shared" si="23"/>
        <v>0</v>
      </c>
      <c r="Y76" s="79">
        <f t="shared" si="23"/>
        <v>0</v>
      </c>
      <c r="Z76" s="79">
        <f t="shared" si="23"/>
        <v>0</v>
      </c>
      <c r="AA76" s="2"/>
      <c r="AB76" s="2"/>
      <c r="AC76" s="2"/>
      <c r="AD76" s="13"/>
    </row>
    <row r="77" spans="1:30" x14ac:dyDescent="0.25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1"/>
    </row>
    <row r="79" spans="1:30" x14ac:dyDescent="0.25">
      <c r="A79" s="59" t="s">
        <v>85</v>
      </c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5"/>
    </row>
    <row r="80" spans="1:30" x14ac:dyDescent="0.25">
      <c r="A80" s="14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13"/>
    </row>
    <row r="81" spans="1:18" x14ac:dyDescent="0.25">
      <c r="A81" s="14"/>
      <c r="B81" s="2"/>
      <c r="C81" s="152" t="s">
        <v>11</v>
      </c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2"/>
      <c r="P81" s="7" t="s">
        <v>13</v>
      </c>
      <c r="Q81" s="2"/>
      <c r="R81" s="13"/>
    </row>
    <row r="82" spans="1:18" x14ac:dyDescent="0.25">
      <c r="A82" s="14"/>
      <c r="B82" s="2"/>
      <c r="C82" s="151" t="s">
        <v>1</v>
      </c>
      <c r="D82" s="152"/>
      <c r="E82" s="152"/>
      <c r="F82" s="153"/>
      <c r="G82" s="152" t="s">
        <v>5</v>
      </c>
      <c r="H82" s="152"/>
      <c r="I82" s="152"/>
      <c r="J82" s="153"/>
      <c r="K82" s="154" t="s">
        <v>3</v>
      </c>
      <c r="L82" s="152"/>
      <c r="M82" s="152"/>
      <c r="N82" s="155"/>
      <c r="O82" s="2"/>
      <c r="P82" s="2"/>
      <c r="Q82" s="2"/>
      <c r="R82" s="13"/>
    </row>
    <row r="83" spans="1:18" ht="15.75" thickBot="1" x14ac:dyDescent="0.3">
      <c r="A83" s="14"/>
      <c r="B83" s="2"/>
      <c r="C83" s="15" t="s">
        <v>7</v>
      </c>
      <c r="D83" s="16" t="s">
        <v>8</v>
      </c>
      <c r="E83" s="16" t="s">
        <v>9</v>
      </c>
      <c r="F83" s="17" t="s">
        <v>0</v>
      </c>
      <c r="G83" s="16" t="s">
        <v>7</v>
      </c>
      <c r="H83" s="16" t="s">
        <v>8</v>
      </c>
      <c r="I83" s="16" t="s">
        <v>9</v>
      </c>
      <c r="J83" s="17" t="s">
        <v>0</v>
      </c>
      <c r="K83" s="16" t="s">
        <v>7</v>
      </c>
      <c r="L83" s="16" t="s">
        <v>8</v>
      </c>
      <c r="M83" s="16" t="s">
        <v>9</v>
      </c>
      <c r="N83" s="18" t="s">
        <v>0</v>
      </c>
      <c r="O83" s="2"/>
      <c r="P83" s="2"/>
      <c r="Q83" s="2"/>
      <c r="R83" s="13"/>
    </row>
    <row r="84" spans="1:18" ht="15.75" thickTop="1" x14ac:dyDescent="0.25">
      <c r="A84" s="150" t="s">
        <v>10</v>
      </c>
      <c r="B84" s="7" t="s">
        <v>7</v>
      </c>
      <c r="C84" s="46">
        <f>SUM(C64:D65)</f>
        <v>5514335.082989132</v>
      </c>
      <c r="D84" s="48">
        <f>SUM(E64:F65)</f>
        <v>180078.57991006409</v>
      </c>
      <c r="E84" s="48">
        <f>SUM(G64:H65)</f>
        <v>174583.97854961603</v>
      </c>
      <c r="F84" s="50">
        <f>SUM(I64:J65)</f>
        <v>229360.51816816593</v>
      </c>
      <c r="G84" s="48">
        <f>SUM(K64:L65)</f>
        <v>5903570.307426854</v>
      </c>
      <c r="H84" s="48">
        <f>SUM(M64:N65)</f>
        <v>60267.569003432698</v>
      </c>
      <c r="I84" s="48">
        <f>SUM(O64:P65)</f>
        <v>44689.92211495019</v>
      </c>
      <c r="J84" s="50">
        <f>SUM(Q64:R65)</f>
        <v>45429.929800433085</v>
      </c>
      <c r="K84" s="48">
        <f>SUM(S64:T65)</f>
        <v>1200447.7973453619</v>
      </c>
      <c r="L84" s="48">
        <f>SUM(U64:V65)</f>
        <v>44733.697760554089</v>
      </c>
      <c r="M84" s="48">
        <f>SUM(W64:X65)</f>
        <v>47515.790100380276</v>
      </c>
      <c r="N84" s="52">
        <f>SUM(Y64:Z65)</f>
        <v>30199.764899615377</v>
      </c>
      <c r="O84" s="2"/>
      <c r="P84" s="2">
        <f>SUM(C84:N84)</f>
        <v>13475212.938068559</v>
      </c>
      <c r="Q84" s="2"/>
      <c r="R84" s="13"/>
    </row>
    <row r="85" spans="1:18" x14ac:dyDescent="0.25">
      <c r="A85" s="150"/>
      <c r="B85" s="7" t="s">
        <v>8</v>
      </c>
      <c r="C85" s="46">
        <f>SUM(C66:D67)</f>
        <v>202081.86769775505</v>
      </c>
      <c r="D85" s="48">
        <f>SUM(E66:F67)</f>
        <v>11960655.423615998</v>
      </c>
      <c r="E85" s="48">
        <f>SUM(G66:H67)</f>
        <v>487864.62345947616</v>
      </c>
      <c r="F85" s="50">
        <f>SUM(I66:J67)</f>
        <v>506777.89395577332</v>
      </c>
      <c r="G85" s="48">
        <f>SUM(K66:L67)</f>
        <v>66686.06976471431</v>
      </c>
      <c r="H85" s="48">
        <f>SUM(M66:N67)</f>
        <v>10580356.650449611</v>
      </c>
      <c r="I85" s="48">
        <f>SUM(O66:P67)</f>
        <v>147715.01249409033</v>
      </c>
      <c r="J85" s="50">
        <f>SUM(Q66:R67)</f>
        <v>139449.61111438568</v>
      </c>
      <c r="K85" s="48">
        <f>SUM(S66:T67)</f>
        <v>90076.057231714585</v>
      </c>
      <c r="L85" s="48">
        <f>SUM(U66:V67)</f>
        <v>3249000.2931347159</v>
      </c>
      <c r="M85" s="48">
        <f>SUM(W66:X67)</f>
        <v>179699.81912671364</v>
      </c>
      <c r="N85" s="52">
        <f>SUM(Y66:Z67)</f>
        <v>160391.7100895987</v>
      </c>
      <c r="O85" s="2"/>
      <c r="P85" s="2">
        <f t="shared" ref="P85:P88" si="24">SUM(C85:N85)</f>
        <v>27770755.032134548</v>
      </c>
      <c r="Q85" s="2"/>
      <c r="R85" s="13"/>
    </row>
    <row r="86" spans="1:18" x14ac:dyDescent="0.25">
      <c r="A86" s="150"/>
      <c r="B86" s="7" t="s">
        <v>9</v>
      </c>
      <c r="C86" s="46">
        <f>SUM(C68:D69)</f>
        <v>176690.49842322656</v>
      </c>
      <c r="D86" s="48">
        <f>SUM(E68:F69)</f>
        <v>486826.64801207441</v>
      </c>
      <c r="E86" s="48">
        <f>SUM(G68:H69)</f>
        <v>3058068.2697933149</v>
      </c>
      <c r="F86" s="50">
        <f>SUM(I68:J69)</f>
        <v>328164.38189401041</v>
      </c>
      <c r="G86" s="48">
        <f>SUM(K68:L69)</f>
        <v>115878.43045278685</v>
      </c>
      <c r="H86" s="48">
        <f>SUM(M69:N70)</f>
        <v>232449.92765922833</v>
      </c>
      <c r="I86" s="48">
        <f>SUM(O68:P69)</f>
        <v>2412734.5718614673</v>
      </c>
      <c r="J86" s="50">
        <f>SUM(Q68:R69)</f>
        <v>83462.110055487094</v>
      </c>
      <c r="K86" s="48">
        <f>SUM(S68:T69)</f>
        <v>60373.563590639933</v>
      </c>
      <c r="L86" s="48">
        <f>SUM(U68:V69)</f>
        <v>66048.728700856824</v>
      </c>
      <c r="M86" s="48">
        <f>SUM(W68:X69)</f>
        <v>834692.12480151374</v>
      </c>
      <c r="N86" s="52">
        <f>SUM(Y68:Z69)</f>
        <v>77654.578601904213</v>
      </c>
      <c r="O86" s="2"/>
      <c r="P86" s="2">
        <f t="shared" si="24"/>
        <v>7933043.8338465104</v>
      </c>
      <c r="Q86" s="2"/>
      <c r="R86" s="13"/>
    </row>
    <row r="87" spans="1:18" x14ac:dyDescent="0.25">
      <c r="A87" s="150"/>
      <c r="B87" s="7" t="s">
        <v>0</v>
      </c>
      <c r="C87" s="46">
        <f>SUM(C70:D71)</f>
        <v>132276.89976458176</v>
      </c>
      <c r="D87" s="48">
        <f>SUM(E70:F71)</f>
        <v>379923.47306769941</v>
      </c>
      <c r="E87" s="48">
        <f>SUM(G70:H71)</f>
        <v>367129.48630544863</v>
      </c>
      <c r="F87" s="50">
        <f>SUM(I70:J71)</f>
        <v>1838932.0310286223</v>
      </c>
      <c r="G87" s="48">
        <f>SUM(K70:L71)</f>
        <v>54169.111024634592</v>
      </c>
      <c r="H87" s="48">
        <f>SUM(M70:N71)</f>
        <v>119069.17163972408</v>
      </c>
      <c r="I87" s="48">
        <f>SUM(O70:P71)</f>
        <v>88780.823696501015</v>
      </c>
      <c r="J87" s="50">
        <f>SUM(Q70:R71)</f>
        <v>2367368.0960256932</v>
      </c>
      <c r="K87" s="48">
        <f>SUM(S70:T71)</f>
        <v>29654.76550127265</v>
      </c>
      <c r="L87" s="48">
        <f>SUM(U70:V71)</f>
        <v>40227.036349872891</v>
      </c>
      <c r="M87" s="48">
        <f>SUM(W70:X71)</f>
        <v>32027.357697395102</v>
      </c>
      <c r="N87" s="52">
        <f>SUM(Y70:Z71)</f>
        <v>553738.48378388071</v>
      </c>
      <c r="O87" s="2"/>
      <c r="P87" s="2">
        <f t="shared" si="24"/>
        <v>6003296.7358853258</v>
      </c>
      <c r="Q87" s="2"/>
      <c r="R87" s="13"/>
    </row>
    <row r="88" spans="1:18" x14ac:dyDescent="0.25">
      <c r="A88" s="57"/>
      <c r="B88" s="7" t="s">
        <v>2</v>
      </c>
      <c r="C88" s="47">
        <f>SUM(C72:D72)</f>
        <v>7449828.5891967863</v>
      </c>
      <c r="D88" s="49">
        <f>SUM(E72:F72)</f>
        <v>14763270.907531595</v>
      </c>
      <c r="E88" s="49">
        <f>SUM(G72:H72)</f>
        <v>3845397.4757385231</v>
      </c>
      <c r="F88" s="51">
        <f>SUM(I72:J72)</f>
        <v>3100061.9108329108</v>
      </c>
      <c r="G88" s="49">
        <f>SUM(K72:L72)</f>
        <v>0</v>
      </c>
      <c r="H88" s="49">
        <f>SUM(M72:N72)</f>
        <v>0</v>
      </c>
      <c r="I88" s="49">
        <f>SUM(O72:P72)</f>
        <v>0</v>
      </c>
      <c r="J88" s="51">
        <f>SUM(Q72:R72)</f>
        <v>0</v>
      </c>
      <c r="K88" s="49">
        <f>SUM(S72:T72)</f>
        <v>0</v>
      </c>
      <c r="L88" s="49">
        <f>SUM(U72:V72)</f>
        <v>0</v>
      </c>
      <c r="M88" s="49">
        <f>SUM(W72:X72)</f>
        <v>0</v>
      </c>
      <c r="N88" s="53">
        <f>SUM(Y72:Z72)</f>
        <v>0</v>
      </c>
      <c r="O88" s="2"/>
      <c r="P88" s="2">
        <f t="shared" si="24"/>
        <v>29158558.883299816</v>
      </c>
      <c r="Q88" s="2"/>
      <c r="R88" s="13"/>
    </row>
    <row r="89" spans="1:18" x14ac:dyDescent="0.25">
      <c r="A89" s="14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7">
        <f>SUM(P84:P88)</f>
        <v>84340867.423234761</v>
      </c>
      <c r="Q89" s="2"/>
      <c r="R89" s="13"/>
    </row>
    <row r="90" spans="1:18" x14ac:dyDescent="0.25">
      <c r="A90" s="14"/>
      <c r="B90" s="9" t="s">
        <v>12</v>
      </c>
      <c r="C90" s="2">
        <f>SUM(C84:C88)</f>
        <v>13475212.938071482</v>
      </c>
      <c r="D90" s="2">
        <f t="shared" ref="D90:N90" si="25">SUM(D84:D88)</f>
        <v>27770755.032137431</v>
      </c>
      <c r="E90" s="2">
        <f t="shared" si="25"/>
        <v>7933043.8338463791</v>
      </c>
      <c r="F90" s="2">
        <f t="shared" si="25"/>
        <v>6003296.7358794827</v>
      </c>
      <c r="G90" s="2">
        <f t="shared" si="25"/>
        <v>6140303.918668991</v>
      </c>
      <c r="H90" s="2">
        <f t="shared" si="25"/>
        <v>10992143.318751996</v>
      </c>
      <c r="I90" s="2">
        <f t="shared" si="25"/>
        <v>2693920.330167009</v>
      </c>
      <c r="J90" s="2">
        <f t="shared" si="25"/>
        <v>2635709.746995999</v>
      </c>
      <c r="K90" s="2">
        <f t="shared" si="25"/>
        <v>1380552.183668989</v>
      </c>
      <c r="L90" s="2">
        <f t="shared" si="25"/>
        <v>3400009.7559459996</v>
      </c>
      <c r="M90" s="2">
        <f t="shared" si="25"/>
        <v>1093935.0917260027</v>
      </c>
      <c r="N90" s="2">
        <f t="shared" si="25"/>
        <v>821984.53737499902</v>
      </c>
      <c r="O90" s="7">
        <f>SUM(C90:N90)</f>
        <v>84340867.423234761</v>
      </c>
      <c r="P90" s="2"/>
      <c r="Q90" s="2"/>
      <c r="R90" s="13"/>
    </row>
    <row r="91" spans="1:18" x14ac:dyDescent="0.25">
      <c r="A91" s="1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1"/>
    </row>
  </sheetData>
  <mergeCells count="16">
    <mergeCell ref="C4:Z4"/>
    <mergeCell ref="C5:J5"/>
    <mergeCell ref="K5:R5"/>
    <mergeCell ref="S5:Z5"/>
    <mergeCell ref="A7:A14"/>
    <mergeCell ref="O40:R40"/>
    <mergeCell ref="W40:Z40"/>
    <mergeCell ref="A84:A87"/>
    <mergeCell ref="C62:J62"/>
    <mergeCell ref="K62:R62"/>
    <mergeCell ref="S62:Z62"/>
    <mergeCell ref="A64:A71"/>
    <mergeCell ref="C81:N81"/>
    <mergeCell ref="C82:F82"/>
    <mergeCell ref="G82:J82"/>
    <mergeCell ref="K82:N8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96"/>
  <sheetViews>
    <sheetView zoomScaleNormal="100" workbookViewId="0">
      <pane xSplit="2" topLeftCell="C1" activePane="topRight" state="frozen"/>
      <selection pane="topRight" activeCell="B101" sqref="B101"/>
    </sheetView>
  </sheetViews>
  <sheetFormatPr defaultRowHeight="15" x14ac:dyDescent="0.25"/>
  <cols>
    <col min="1" max="1" width="19" bestFit="1" customWidth="1"/>
    <col min="2" max="2" width="77.5703125" bestFit="1" customWidth="1"/>
    <col min="3" max="3" width="19" bestFit="1" customWidth="1"/>
    <col min="4" max="7" width="13.85546875" customWidth="1"/>
    <col min="8" max="8" width="16.85546875" bestFit="1" customWidth="1"/>
    <col min="9" max="16" width="13.85546875" customWidth="1"/>
    <col min="17" max="17" width="14.85546875" bestFit="1" customWidth="1"/>
    <col min="18" max="26" width="13.85546875" customWidth="1"/>
    <col min="27" max="29" width="15.28515625" bestFit="1" customWidth="1"/>
    <col min="30" max="30" width="13.28515625" bestFit="1" customWidth="1"/>
    <col min="31" max="31" width="12.7109375" bestFit="1" customWidth="1"/>
    <col min="32" max="32" width="12" bestFit="1" customWidth="1"/>
  </cols>
  <sheetData>
    <row r="1" spans="1:31" ht="18.75" x14ac:dyDescent="0.3">
      <c r="A1" s="6" t="s">
        <v>157</v>
      </c>
    </row>
    <row r="3" spans="1:31" x14ac:dyDescent="0.25">
      <c r="A3" s="59" t="s">
        <v>82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5"/>
    </row>
    <row r="4" spans="1:31" x14ac:dyDescent="0.25">
      <c r="A4" s="14"/>
      <c r="B4" s="2"/>
      <c r="C4" s="152" t="s">
        <v>27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2"/>
      <c r="AB4" s="7" t="s">
        <v>29</v>
      </c>
      <c r="AC4" s="7" t="s">
        <v>39</v>
      </c>
      <c r="AD4" s="2"/>
      <c r="AE4" s="13"/>
    </row>
    <row r="5" spans="1:31" ht="15" customHeight="1" x14ac:dyDescent="0.25">
      <c r="A5" s="14"/>
      <c r="B5" s="2"/>
      <c r="C5" s="157" t="s">
        <v>26</v>
      </c>
      <c r="D5" s="158"/>
      <c r="E5" s="158"/>
      <c r="F5" s="158"/>
      <c r="G5" s="158"/>
      <c r="H5" s="158"/>
      <c r="I5" s="158"/>
      <c r="J5" s="159"/>
      <c r="K5" s="157" t="s">
        <v>5</v>
      </c>
      <c r="L5" s="158"/>
      <c r="M5" s="158"/>
      <c r="N5" s="158"/>
      <c r="O5" s="158"/>
      <c r="P5" s="158"/>
      <c r="Q5" s="158"/>
      <c r="R5" s="159"/>
      <c r="S5" s="157" t="s">
        <v>3</v>
      </c>
      <c r="T5" s="158"/>
      <c r="U5" s="158"/>
      <c r="V5" s="158"/>
      <c r="W5" s="158"/>
      <c r="X5" s="158"/>
      <c r="Y5" s="158"/>
      <c r="Z5" s="160"/>
      <c r="AA5" s="2"/>
      <c r="AB5" s="2"/>
      <c r="AC5" s="2"/>
      <c r="AD5" s="2"/>
      <c r="AE5" s="13"/>
    </row>
    <row r="6" spans="1:31" ht="15.75" thickBot="1" x14ac:dyDescent="0.3">
      <c r="A6" s="14"/>
      <c r="B6" s="2"/>
      <c r="C6" s="23" t="s">
        <v>14</v>
      </c>
      <c r="D6" s="24" t="s">
        <v>22</v>
      </c>
      <c r="E6" s="24" t="s">
        <v>15</v>
      </c>
      <c r="F6" s="24" t="s">
        <v>23</v>
      </c>
      <c r="G6" s="24" t="s">
        <v>16</v>
      </c>
      <c r="H6" s="24" t="s">
        <v>24</v>
      </c>
      <c r="I6" s="24" t="s">
        <v>17</v>
      </c>
      <c r="J6" s="25" t="s">
        <v>25</v>
      </c>
      <c r="K6" s="23" t="s">
        <v>14</v>
      </c>
      <c r="L6" s="24" t="s">
        <v>22</v>
      </c>
      <c r="M6" s="24" t="s">
        <v>15</v>
      </c>
      <c r="N6" s="24" t="s">
        <v>23</v>
      </c>
      <c r="O6" s="24" t="s">
        <v>16</v>
      </c>
      <c r="P6" s="24" t="s">
        <v>24</v>
      </c>
      <c r="Q6" s="24" t="s">
        <v>17</v>
      </c>
      <c r="R6" s="25" t="s">
        <v>25</v>
      </c>
      <c r="S6" s="23" t="s">
        <v>14</v>
      </c>
      <c r="T6" s="24" t="s">
        <v>22</v>
      </c>
      <c r="U6" s="24" t="s">
        <v>15</v>
      </c>
      <c r="V6" s="24" t="s">
        <v>23</v>
      </c>
      <c r="W6" s="24" t="s">
        <v>16</v>
      </c>
      <c r="X6" s="24" t="s">
        <v>24</v>
      </c>
      <c r="Y6" s="24" t="s">
        <v>17</v>
      </c>
      <c r="Z6" s="38" t="s">
        <v>25</v>
      </c>
      <c r="AA6" s="2"/>
      <c r="AB6" s="2"/>
      <c r="AC6" s="2"/>
      <c r="AD6" s="2"/>
      <c r="AE6" s="13"/>
    </row>
    <row r="7" spans="1:31" ht="15.75" thickTop="1" x14ac:dyDescent="0.25">
      <c r="A7" s="161" t="s">
        <v>43</v>
      </c>
      <c r="B7" s="22" t="s">
        <v>14</v>
      </c>
      <c r="C7" s="83">
        <f>'BenchmarkIOMatrix-1995'!C22</f>
        <v>5564804.2664373862</v>
      </c>
      <c r="D7" s="84">
        <v>0</v>
      </c>
      <c r="E7" s="84">
        <v>0</v>
      </c>
      <c r="F7" s="84">
        <v>0</v>
      </c>
      <c r="G7" s="85">
        <v>0</v>
      </c>
      <c r="H7" s="85">
        <v>0</v>
      </c>
      <c r="I7" s="85">
        <v>0</v>
      </c>
      <c r="J7" s="86">
        <v>0</v>
      </c>
      <c r="K7" s="83">
        <f>'BenchmarkIOMatrix-1995'!G22</f>
        <v>5926949.1729290169</v>
      </c>
      <c r="L7" s="84">
        <v>0</v>
      </c>
      <c r="M7" s="84">
        <v>0</v>
      </c>
      <c r="N7" s="84">
        <v>0</v>
      </c>
      <c r="O7" s="85">
        <v>0</v>
      </c>
      <c r="P7" s="85">
        <v>0</v>
      </c>
      <c r="Q7" s="85">
        <v>0</v>
      </c>
      <c r="R7" s="86">
        <v>0</v>
      </c>
      <c r="S7" s="83">
        <f>'BenchmarkIOMatrix-1995'!K22</f>
        <v>1218234.1868745731</v>
      </c>
      <c r="T7" s="84">
        <v>0</v>
      </c>
      <c r="U7" s="84">
        <v>0</v>
      </c>
      <c r="V7" s="84">
        <v>0</v>
      </c>
      <c r="W7" s="85">
        <v>0</v>
      </c>
      <c r="X7" s="85">
        <v>0</v>
      </c>
      <c r="Y7" s="85">
        <v>0</v>
      </c>
      <c r="Z7" s="87">
        <v>0</v>
      </c>
      <c r="AA7" s="62"/>
      <c r="AB7" s="62">
        <f>SUM(C7:Z7)</f>
        <v>12709987.626240976</v>
      </c>
      <c r="AC7" s="62">
        <f>C44-AC8</f>
        <v>12734519.439519938</v>
      </c>
      <c r="AD7" s="114"/>
      <c r="AE7" s="13"/>
    </row>
    <row r="8" spans="1:31" x14ac:dyDescent="0.25">
      <c r="A8" s="161"/>
      <c r="B8" s="22" t="s">
        <v>18</v>
      </c>
      <c r="C8" s="83">
        <v>0</v>
      </c>
      <c r="D8" s="84">
        <v>0</v>
      </c>
      <c r="E8" s="84">
        <v>0</v>
      </c>
      <c r="F8" s="84">
        <f>'BenchmarkIOMatrix-1995'!D22</f>
        <v>228785.35852844641</v>
      </c>
      <c r="G8" s="84">
        <v>0</v>
      </c>
      <c r="H8" s="84">
        <f>'BenchmarkIOMatrix-1995'!E22</f>
        <v>94560.991268332247</v>
      </c>
      <c r="I8" s="84">
        <v>0</v>
      </c>
      <c r="J8" s="86">
        <f>'BenchmarkIOMatrix-1995'!F22</f>
        <v>197436.19747258461</v>
      </c>
      <c r="K8" s="83">
        <v>0</v>
      </c>
      <c r="L8" s="84">
        <v>0</v>
      </c>
      <c r="M8" s="84">
        <v>0</v>
      </c>
      <c r="N8" s="84">
        <f>'BenchmarkIOMatrix-1995'!H22</f>
        <v>80793.271593902246</v>
      </c>
      <c r="O8" s="84">
        <v>0</v>
      </c>
      <c r="P8" s="84">
        <f>'BenchmarkIOMatrix-1995'!I22</f>
        <v>23796.918202255772</v>
      </c>
      <c r="Q8" s="84">
        <v>0</v>
      </c>
      <c r="R8" s="86">
        <f>'BenchmarkIOMatrix-1995'!J22</f>
        <v>39382.304926033845</v>
      </c>
      <c r="S8" s="83">
        <v>0</v>
      </c>
      <c r="T8" s="84">
        <v>0</v>
      </c>
      <c r="U8" s="84">
        <v>0</v>
      </c>
      <c r="V8" s="84">
        <f>'BenchmarkIOMatrix-1995'!L22</f>
        <v>51246.054381103066</v>
      </c>
      <c r="W8" s="84">
        <v>0</v>
      </c>
      <c r="X8" s="84">
        <f>'BenchmarkIOMatrix-1995'!M22</f>
        <v>23271.258425006239</v>
      </c>
      <c r="Y8" s="84">
        <v>0</v>
      </c>
      <c r="Z8" s="87">
        <f>'BenchmarkIOMatrix-1995'!N22</f>
        <v>25952.957038492499</v>
      </c>
      <c r="AA8" s="62"/>
      <c r="AB8" s="62">
        <f t="shared" ref="AB8:AB15" si="0">SUM(C8:Z8)</f>
        <v>765225.31183615688</v>
      </c>
      <c r="AC8" s="134">
        <f>C32+C38</f>
        <v>765225.31183615688</v>
      </c>
      <c r="AD8" s="114"/>
      <c r="AE8" s="77"/>
    </row>
    <row r="9" spans="1:31" x14ac:dyDescent="0.25">
      <c r="A9" s="161"/>
      <c r="B9" s="22" t="s">
        <v>15</v>
      </c>
      <c r="C9" s="83">
        <v>0</v>
      </c>
      <c r="D9" s="84">
        <v>0</v>
      </c>
      <c r="E9" s="84">
        <f>'BenchmarkIOMatrix-1995'!D23</f>
        <v>12275066.818850553</v>
      </c>
      <c r="F9" s="84">
        <v>0</v>
      </c>
      <c r="G9" s="88">
        <v>0</v>
      </c>
      <c r="H9" s="88">
        <v>0</v>
      </c>
      <c r="I9" s="88">
        <v>0</v>
      </c>
      <c r="J9" s="89">
        <v>0</v>
      </c>
      <c r="K9" s="83">
        <v>0</v>
      </c>
      <c r="L9" s="84">
        <v>0</v>
      </c>
      <c r="M9" s="84">
        <f>'BenchmarkIOMatrix-1995'!H23</f>
        <v>10704035.358149167</v>
      </c>
      <c r="N9" s="84">
        <v>0</v>
      </c>
      <c r="O9" s="88">
        <v>0</v>
      </c>
      <c r="P9" s="88">
        <v>0</v>
      </c>
      <c r="Q9" s="88">
        <v>0</v>
      </c>
      <c r="R9" s="89">
        <v>0</v>
      </c>
      <c r="S9" s="83">
        <v>0</v>
      </c>
      <c r="T9" s="84">
        <v>0</v>
      </c>
      <c r="U9" s="84">
        <f>'BenchmarkIOMatrix-1995'!L23</f>
        <v>3294355.465238513</v>
      </c>
      <c r="V9" s="84">
        <v>0</v>
      </c>
      <c r="W9" s="88">
        <v>0</v>
      </c>
      <c r="X9" s="88">
        <v>0</v>
      </c>
      <c r="Y9" s="88">
        <v>0</v>
      </c>
      <c r="Z9" s="90">
        <v>0</v>
      </c>
      <c r="AA9" s="62"/>
      <c r="AB9" s="62">
        <f t="shared" si="0"/>
        <v>26273457.64223823</v>
      </c>
      <c r="AC9" s="62">
        <f>D44-AC10</f>
        <v>26329784.851271957</v>
      </c>
      <c r="AD9" s="114"/>
      <c r="AE9" s="77"/>
    </row>
    <row r="10" spans="1:31" x14ac:dyDescent="0.25">
      <c r="A10" s="161"/>
      <c r="B10" s="22" t="s">
        <v>19</v>
      </c>
      <c r="C10" s="83">
        <v>0</v>
      </c>
      <c r="D10" s="84">
        <f>'BenchmarkIOMatrix-1995'!C23</f>
        <v>261470.69247068494</v>
      </c>
      <c r="E10" s="84">
        <v>0</v>
      </c>
      <c r="F10" s="84">
        <v>0</v>
      </c>
      <c r="G10" s="84">
        <v>0</v>
      </c>
      <c r="H10" s="84">
        <f>'BenchmarkIOMatrix-1995'!E23</f>
        <v>241701.14516750092</v>
      </c>
      <c r="I10" s="84">
        <v>0</v>
      </c>
      <c r="J10" s="86">
        <f>'BenchmarkIOMatrix-1995'!F23</f>
        <v>399022.63325623551</v>
      </c>
      <c r="K10" s="83">
        <v>0</v>
      </c>
      <c r="L10" s="84">
        <f>'BenchmarkIOMatrix-1995'!G23</f>
        <v>96252.139286830163</v>
      </c>
      <c r="M10" s="84">
        <v>0</v>
      </c>
      <c r="N10" s="84">
        <v>0</v>
      </c>
      <c r="O10" s="84">
        <v>0</v>
      </c>
      <c r="P10" s="84">
        <f>'BenchmarkIOMatrix-1995'!I23</f>
        <v>71946.141329368314</v>
      </c>
      <c r="Q10" s="84">
        <v>0</v>
      </c>
      <c r="R10" s="86">
        <f>'BenchmarkIOMatrix-1995'!J23</f>
        <v>110572.75313071824</v>
      </c>
      <c r="S10" s="83">
        <v>0</v>
      </c>
      <c r="T10" s="84">
        <f>'BenchmarkIOMatrix-1995'!K23</f>
        <v>109753.5638649686</v>
      </c>
      <c r="U10" s="84">
        <v>0</v>
      </c>
      <c r="V10" s="84">
        <v>0</v>
      </c>
      <c r="W10" s="84">
        <v>0</v>
      </c>
      <c r="X10" s="84">
        <f>'BenchmarkIOMatrix-1995'!M23</f>
        <v>80501.005451682257</v>
      </c>
      <c r="Y10" s="84">
        <v>0</v>
      </c>
      <c r="Z10" s="87">
        <f>'BenchmarkIOMatrix-1995'!N23</f>
        <v>126077.31593519982</v>
      </c>
      <c r="AA10" s="62"/>
      <c r="AB10" s="62">
        <f t="shared" si="0"/>
        <v>1497297.3898931886</v>
      </c>
      <c r="AC10" s="134">
        <f>D32+D38</f>
        <v>1497297.3898931886</v>
      </c>
      <c r="AD10" s="114"/>
      <c r="AE10" s="77"/>
    </row>
    <row r="11" spans="1:31" x14ac:dyDescent="0.25">
      <c r="A11" s="161"/>
      <c r="B11" s="78" t="s">
        <v>16</v>
      </c>
      <c r="C11" s="83">
        <v>0</v>
      </c>
      <c r="D11" s="84">
        <v>0</v>
      </c>
      <c r="E11" s="84">
        <v>0</v>
      </c>
      <c r="F11" s="84">
        <v>0</v>
      </c>
      <c r="G11" s="84">
        <f>'BenchmarkIOMatrix-1995'!E24</f>
        <v>3640906.9840632132</v>
      </c>
      <c r="H11" s="84">
        <v>0</v>
      </c>
      <c r="I11" s="84">
        <v>0</v>
      </c>
      <c r="J11" s="86">
        <v>0</v>
      </c>
      <c r="K11" s="83">
        <v>0</v>
      </c>
      <c r="L11" s="84">
        <v>0</v>
      </c>
      <c r="M11" s="84">
        <v>0</v>
      </c>
      <c r="N11" s="84">
        <v>0</v>
      </c>
      <c r="O11" s="84">
        <f>'BenchmarkIOMatrix-1995'!I24</f>
        <v>2571912.3435154334</v>
      </c>
      <c r="P11" s="84">
        <v>0</v>
      </c>
      <c r="Q11" s="84">
        <v>0</v>
      </c>
      <c r="R11" s="86">
        <v>0</v>
      </c>
      <c r="S11" s="83">
        <v>0</v>
      </c>
      <c r="T11" s="84">
        <v>0</v>
      </c>
      <c r="U11" s="84">
        <v>0</v>
      </c>
      <c r="V11" s="84">
        <v>0</v>
      </c>
      <c r="W11" s="84">
        <f>'BenchmarkIOMatrix-1995'!M24</f>
        <v>981448.19822669344</v>
      </c>
      <c r="X11" s="84">
        <v>0</v>
      </c>
      <c r="Y11" s="84">
        <v>0</v>
      </c>
      <c r="Z11" s="87">
        <v>0</v>
      </c>
      <c r="AA11" s="62"/>
      <c r="AB11" s="62">
        <f t="shared" si="0"/>
        <v>7194267.5258053401</v>
      </c>
      <c r="AC11" s="62">
        <f>E44-AC12</f>
        <v>7227672.4112035027</v>
      </c>
      <c r="AD11" s="114"/>
      <c r="AE11" s="13"/>
    </row>
    <row r="12" spans="1:31" x14ac:dyDescent="0.25">
      <c r="A12" s="161"/>
      <c r="B12" s="78" t="s">
        <v>20</v>
      </c>
      <c r="C12" s="83">
        <v>0</v>
      </c>
      <c r="D12" s="84">
        <f>'BenchmarkIOMatrix-1995'!C24</f>
        <v>95152.366388163427</v>
      </c>
      <c r="E12" s="84">
        <v>0</v>
      </c>
      <c r="F12" s="84">
        <f>'BenchmarkIOMatrix-1995'!D24</f>
        <v>235463.17281323919</v>
      </c>
      <c r="G12" s="84">
        <v>0</v>
      </c>
      <c r="H12" s="84">
        <v>0</v>
      </c>
      <c r="I12" s="84">
        <v>0</v>
      </c>
      <c r="J12" s="86">
        <f>'BenchmarkIOMatrix-1995'!F24</f>
        <v>107542.97285170347</v>
      </c>
      <c r="K12" s="83">
        <v>0</v>
      </c>
      <c r="L12" s="84">
        <f>'BenchmarkIOMatrix-1995'!G24</f>
        <v>69612.719485673399</v>
      </c>
      <c r="M12" s="84">
        <v>0</v>
      </c>
      <c r="N12" s="84">
        <f>'BenchmarkIOMatrix-1995'!H24</f>
        <v>118632.42681035015</v>
      </c>
      <c r="O12" s="84">
        <v>0</v>
      </c>
      <c r="P12" s="84">
        <v>0</v>
      </c>
      <c r="Q12" s="84">
        <v>0</v>
      </c>
      <c r="R12" s="86">
        <f>'BenchmarkIOMatrix-1995'!J24</f>
        <v>27544.246953702092</v>
      </c>
      <c r="S12" s="83">
        <v>0</v>
      </c>
      <c r="T12" s="84">
        <f>'BenchmarkIOMatrix-1995'!K24</f>
        <v>30617.293819350543</v>
      </c>
      <c r="U12" s="84">
        <v>0</v>
      </c>
      <c r="V12" s="84">
        <f>'BenchmarkIOMatrix-1995'!L24</f>
        <v>28805.311450726502</v>
      </c>
      <c r="W12" s="84">
        <v>0</v>
      </c>
      <c r="X12" s="84">
        <v>0</v>
      </c>
      <c r="Y12" s="84">
        <v>0</v>
      </c>
      <c r="Z12" s="87">
        <f>'BenchmarkIOMatrix-1995'!N24</f>
        <v>25405.79746879491</v>
      </c>
      <c r="AA12" s="62"/>
      <c r="AB12" s="62">
        <f t="shared" si="0"/>
        <v>738776.30804170354</v>
      </c>
      <c r="AC12" s="134">
        <f>E32+E38</f>
        <v>738776.30804170354</v>
      </c>
      <c r="AD12" s="114"/>
      <c r="AE12" s="77"/>
    </row>
    <row r="13" spans="1:31" x14ac:dyDescent="0.25">
      <c r="A13" s="161"/>
      <c r="B13" s="78" t="s">
        <v>17</v>
      </c>
      <c r="C13" s="83">
        <v>0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f>'BenchmarkIOMatrix-1995'!F25</f>
        <v>2199233.0214599343</v>
      </c>
      <c r="J13" s="86">
        <v>0</v>
      </c>
      <c r="K13" s="83">
        <v>0</v>
      </c>
      <c r="L13" s="84">
        <v>0</v>
      </c>
      <c r="M13" s="84">
        <v>0</v>
      </c>
      <c r="N13" s="84">
        <v>0</v>
      </c>
      <c r="O13" s="84">
        <v>0</v>
      </c>
      <c r="P13" s="84">
        <v>0</v>
      </c>
      <c r="Q13" s="84">
        <f>'BenchmarkIOMatrix-1995'!J25</f>
        <v>2458210.4419855447</v>
      </c>
      <c r="R13" s="86">
        <v>0</v>
      </c>
      <c r="S13" s="83">
        <v>0</v>
      </c>
      <c r="T13" s="84">
        <v>0</v>
      </c>
      <c r="U13" s="84">
        <v>0</v>
      </c>
      <c r="V13" s="84">
        <v>0</v>
      </c>
      <c r="W13" s="84">
        <v>0</v>
      </c>
      <c r="X13" s="84">
        <v>0</v>
      </c>
      <c r="Y13" s="84">
        <f>'BenchmarkIOMatrix-1995'!N25</f>
        <v>644548.46693251166</v>
      </c>
      <c r="Z13" s="87">
        <v>0</v>
      </c>
      <c r="AA13" s="62"/>
      <c r="AB13" s="62">
        <f t="shared" si="0"/>
        <v>5301991.9303779909</v>
      </c>
      <c r="AC13" s="62">
        <f>F44-AC14</f>
        <v>5333117.7725089937</v>
      </c>
      <c r="AD13" s="114"/>
      <c r="AE13" s="77"/>
    </row>
    <row r="14" spans="1:31" x14ac:dyDescent="0.25">
      <c r="A14" s="161"/>
      <c r="B14" s="78" t="s">
        <v>21</v>
      </c>
      <c r="C14" s="83">
        <v>0</v>
      </c>
      <c r="D14" s="84">
        <f>'BenchmarkIOMatrix-1995'!C25</f>
        <v>103957.0235870342</v>
      </c>
      <c r="E14" s="84">
        <v>0</v>
      </c>
      <c r="F14" s="84">
        <f>'BenchmarkIOMatrix-1995'!D25</f>
        <v>268168.77441047278</v>
      </c>
      <c r="G14" s="84">
        <v>0</v>
      </c>
      <c r="H14" s="84">
        <f>'BenchmarkIOMatrix-1995'!E25</f>
        <v>110477.23760934155</v>
      </c>
      <c r="I14" s="84">
        <v>0</v>
      </c>
      <c r="J14" s="86">
        <v>0</v>
      </c>
      <c r="K14" s="83">
        <v>0</v>
      </c>
      <c r="L14" s="84">
        <f>'BenchmarkIOMatrix-1995'!G25</f>
        <v>47489.886967469742</v>
      </c>
      <c r="M14" s="84">
        <v>0</v>
      </c>
      <c r="N14" s="84">
        <f>'BenchmarkIOMatrix-1995'!H25</f>
        <v>88682.262198576325</v>
      </c>
      <c r="O14" s="84">
        <v>0</v>
      </c>
      <c r="P14" s="84">
        <f>'BenchmarkIOMatrix-1995'!I25</f>
        <v>26264.927119951724</v>
      </c>
      <c r="Q14" s="84">
        <v>0</v>
      </c>
      <c r="R14" s="86">
        <v>0</v>
      </c>
      <c r="S14" s="83">
        <v>0</v>
      </c>
      <c r="T14" s="84">
        <f>'BenchmarkIOMatrix-1995'!K25</f>
        <v>21947.139110096494</v>
      </c>
      <c r="U14" s="84">
        <v>0</v>
      </c>
      <c r="V14" s="84">
        <f>'BenchmarkIOMatrix-1995'!L25</f>
        <v>25602.924875657292</v>
      </c>
      <c r="W14" s="84">
        <v>0</v>
      </c>
      <c r="X14" s="84">
        <f>'BenchmarkIOMatrix-1995'!M25</f>
        <v>8714.6296226206923</v>
      </c>
      <c r="Y14" s="84">
        <v>0</v>
      </c>
      <c r="Z14" s="87">
        <v>0</v>
      </c>
      <c r="AA14" s="62"/>
      <c r="AB14" s="62">
        <f t="shared" si="0"/>
        <v>701304.80550122075</v>
      </c>
      <c r="AC14" s="134">
        <f>F32+F38</f>
        <v>701304.80550122075</v>
      </c>
      <c r="AD14" s="114"/>
      <c r="AE14" s="77"/>
    </row>
    <row r="15" spans="1:31" x14ac:dyDescent="0.25">
      <c r="A15" s="14"/>
      <c r="B15" s="7" t="s">
        <v>2</v>
      </c>
      <c r="C15" s="91">
        <f>'BenchmarkIOMatrix-1995'!C26</f>
        <v>7449828.5891882153</v>
      </c>
      <c r="D15" s="92">
        <v>0</v>
      </c>
      <c r="E15" s="92">
        <f>'BenchmarkIOMatrix-1995'!D26</f>
        <v>14763270.907534719</v>
      </c>
      <c r="F15" s="92">
        <v>0</v>
      </c>
      <c r="G15" s="92">
        <f>'BenchmarkIOMatrix-1995'!E26</f>
        <v>3845397.4757379903</v>
      </c>
      <c r="H15" s="92">
        <v>0</v>
      </c>
      <c r="I15" s="92">
        <f>'BenchmarkIOMatrix-1995'!F26</f>
        <v>3100061.9108390249</v>
      </c>
      <c r="J15" s="93">
        <v>0</v>
      </c>
      <c r="K15" s="91">
        <v>0</v>
      </c>
      <c r="L15" s="92">
        <v>0</v>
      </c>
      <c r="M15" s="92">
        <v>0</v>
      </c>
      <c r="N15" s="92">
        <v>0</v>
      </c>
      <c r="O15" s="92">
        <v>0</v>
      </c>
      <c r="P15" s="92">
        <v>0</v>
      </c>
      <c r="Q15" s="92">
        <v>0</v>
      </c>
      <c r="R15" s="93">
        <v>0</v>
      </c>
      <c r="S15" s="91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4">
        <v>0</v>
      </c>
      <c r="AA15" s="62"/>
      <c r="AB15" s="62">
        <f t="shared" si="0"/>
        <v>29158558.883299947</v>
      </c>
      <c r="AC15" s="62">
        <f>AB15</f>
        <v>29158558.883299947</v>
      </c>
      <c r="AD15" s="114"/>
      <c r="AE15" s="13"/>
    </row>
    <row r="16" spans="1:31" x14ac:dyDescent="0.25">
      <c r="A16" s="57"/>
      <c r="B16" s="79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71">
        <f>SUM(AB7:AB15)</f>
        <v>84340867.423234761</v>
      </c>
      <c r="AC16" s="71">
        <f>SUM(AC7:AC15)</f>
        <v>84486257.173076615</v>
      </c>
      <c r="AD16" s="114"/>
      <c r="AE16" s="13"/>
    </row>
    <row r="17" spans="1:31" x14ac:dyDescent="0.25">
      <c r="A17" s="57"/>
      <c r="B17" s="80" t="s">
        <v>28</v>
      </c>
      <c r="C17" s="62">
        <f>SUM(C7:C15)</f>
        <v>13014632.855625601</v>
      </c>
      <c r="D17" s="62">
        <f t="shared" ref="D17:Z17" si="1">SUM(D7:D15)</f>
        <v>460580.08244588255</v>
      </c>
      <c r="E17" s="62">
        <f t="shared" si="1"/>
        <v>27038337.726385273</v>
      </c>
      <c r="F17" s="62">
        <f t="shared" si="1"/>
        <v>732417.3057521584</v>
      </c>
      <c r="G17" s="62">
        <f t="shared" si="1"/>
        <v>7486304.4598012036</v>
      </c>
      <c r="H17" s="62">
        <f t="shared" si="1"/>
        <v>446739.37404517474</v>
      </c>
      <c r="I17" s="62">
        <f t="shared" si="1"/>
        <v>5299294.9322989592</v>
      </c>
      <c r="J17" s="62">
        <f t="shared" si="1"/>
        <v>704001.80358052347</v>
      </c>
      <c r="K17" s="62">
        <f t="shared" si="1"/>
        <v>5926949.1729290169</v>
      </c>
      <c r="L17" s="62">
        <f t="shared" si="1"/>
        <v>213354.7457399733</v>
      </c>
      <c r="M17" s="62">
        <f t="shared" si="1"/>
        <v>10704035.358149167</v>
      </c>
      <c r="N17" s="62">
        <f t="shared" si="1"/>
        <v>288107.96060282877</v>
      </c>
      <c r="O17" s="62">
        <f t="shared" si="1"/>
        <v>2571912.3435154334</v>
      </c>
      <c r="P17" s="62">
        <f t="shared" si="1"/>
        <v>122007.9866515758</v>
      </c>
      <c r="Q17" s="62">
        <f t="shared" si="1"/>
        <v>2458210.4419855447</v>
      </c>
      <c r="R17" s="62">
        <f t="shared" si="1"/>
        <v>177499.30501045418</v>
      </c>
      <c r="S17" s="62">
        <f t="shared" si="1"/>
        <v>1218234.1868745731</v>
      </c>
      <c r="T17" s="62">
        <f t="shared" si="1"/>
        <v>162317.99679441564</v>
      </c>
      <c r="U17" s="62">
        <f t="shared" si="1"/>
        <v>3294355.465238513</v>
      </c>
      <c r="V17" s="62">
        <f t="shared" si="1"/>
        <v>105654.29070748686</v>
      </c>
      <c r="W17" s="62">
        <f t="shared" si="1"/>
        <v>981448.19822669344</v>
      </c>
      <c r="X17" s="62">
        <f t="shared" si="1"/>
        <v>112486.89349930918</v>
      </c>
      <c r="Y17" s="62">
        <f t="shared" si="1"/>
        <v>644548.46693251166</v>
      </c>
      <c r="Z17" s="62">
        <f t="shared" si="1"/>
        <v>177436.07044248722</v>
      </c>
      <c r="AA17" s="71">
        <f>SUM(C17:Z17)</f>
        <v>84340867.423234761</v>
      </c>
      <c r="AB17" s="62"/>
      <c r="AC17" s="62"/>
      <c r="AD17" s="2"/>
      <c r="AE17" s="13"/>
    </row>
    <row r="18" spans="1:31" x14ac:dyDescent="0.25">
      <c r="A18" s="57"/>
      <c r="B18" s="80" t="s">
        <v>40</v>
      </c>
      <c r="C18" s="62">
        <f>C44-C31</f>
        <v>13014632.855625601</v>
      </c>
      <c r="D18" s="62">
        <f>C31</f>
        <v>485111.89573049406</v>
      </c>
      <c r="E18" s="62">
        <f>D44-D31</f>
        <v>27038337.726385273</v>
      </c>
      <c r="F18" s="62">
        <f>D31</f>
        <v>788744.51477987436</v>
      </c>
      <c r="G18" s="62">
        <f>E44-E31</f>
        <v>7486304.4598012045</v>
      </c>
      <c r="H18" s="62">
        <f>E31</f>
        <v>480144.25944400241</v>
      </c>
      <c r="I18" s="62">
        <f>F44-F31</f>
        <v>5299294.9322989592</v>
      </c>
      <c r="J18" s="62">
        <f>F31</f>
        <v>735127.64571125561</v>
      </c>
      <c r="K18" s="62">
        <f>C61</f>
        <v>5940881.4554538783</v>
      </c>
      <c r="L18" s="62">
        <f>C49</f>
        <v>199422.46321511143</v>
      </c>
      <c r="M18" s="62">
        <f>D61</f>
        <v>10745248.849959064</v>
      </c>
      <c r="N18" s="62">
        <f>D49</f>
        <v>246894.46879293123</v>
      </c>
      <c r="O18" s="62">
        <f>E61</f>
        <v>2589292.9481973569</v>
      </c>
      <c r="P18" s="62">
        <f>E49</f>
        <v>104627.38196965218</v>
      </c>
      <c r="Q18" s="62">
        <f>F61</f>
        <v>2473776.1357094226</v>
      </c>
      <c r="R18" s="62">
        <f>F49</f>
        <v>161933.61128657634</v>
      </c>
      <c r="S18" s="62">
        <f>C62</f>
        <v>1228833.7176343231</v>
      </c>
      <c r="T18" s="62">
        <f>C50</f>
        <v>151718.46603466591</v>
      </c>
      <c r="U18" s="62">
        <f>D62</f>
        <v>3309469.1824563313</v>
      </c>
      <c r="V18" s="62">
        <f>D50</f>
        <v>90540.57348966843</v>
      </c>
      <c r="W18" s="62">
        <f>E62</f>
        <v>997472.47894359764</v>
      </c>
      <c r="X18" s="62">
        <f>E50</f>
        <v>96462.612782405151</v>
      </c>
      <c r="Y18" s="62">
        <f>F62</f>
        <v>660108.6153393659</v>
      </c>
      <c r="Z18" s="62">
        <f>F50</f>
        <v>161875.92203563303</v>
      </c>
      <c r="AA18" s="71">
        <f>SUM(C18:Z18)</f>
        <v>84486257.173076645</v>
      </c>
      <c r="AB18" s="62"/>
      <c r="AC18" s="62"/>
      <c r="AD18" s="2"/>
      <c r="AE18" s="13"/>
    </row>
    <row r="19" spans="1:31" x14ac:dyDescent="0.25">
      <c r="A19" s="81"/>
      <c r="B19" s="82"/>
      <c r="C19" s="82"/>
      <c r="D19" s="82"/>
      <c r="E19" s="82"/>
      <c r="F19" s="82"/>
      <c r="G19" s="20"/>
      <c r="H19" s="82"/>
      <c r="I19" s="82"/>
      <c r="J19" s="82"/>
      <c r="K19" s="82"/>
      <c r="L19" s="82"/>
      <c r="M19" s="82"/>
      <c r="N19" s="82"/>
      <c r="O19" s="20"/>
      <c r="P19" s="20"/>
      <c r="Q19" s="82"/>
      <c r="R19" s="20"/>
      <c r="S19" s="82"/>
      <c r="T19" s="82"/>
      <c r="U19" s="82"/>
      <c r="V19" s="82"/>
      <c r="W19" s="20"/>
      <c r="X19" s="20"/>
      <c r="Y19" s="82"/>
      <c r="Z19" s="20"/>
      <c r="AA19" s="20"/>
      <c r="AB19" s="20"/>
      <c r="AC19" s="20"/>
      <c r="AD19" s="20"/>
      <c r="AE19" s="21"/>
    </row>
    <row r="20" spans="1:31" x14ac:dyDescent="0.25">
      <c r="A20" s="7"/>
      <c r="B20" s="5"/>
      <c r="C20" s="5"/>
      <c r="D20" s="5"/>
      <c r="E20" s="5"/>
      <c r="F20" s="5"/>
      <c r="H20" s="5"/>
      <c r="I20" s="5"/>
      <c r="J20" s="5"/>
      <c r="K20" s="5"/>
      <c r="L20" s="5"/>
      <c r="M20" s="5"/>
      <c r="N20" s="5"/>
      <c r="Q20" s="5"/>
      <c r="S20" s="5"/>
      <c r="T20" s="5"/>
      <c r="U20" s="5"/>
      <c r="V20" s="5"/>
      <c r="Y20" s="5"/>
    </row>
    <row r="21" spans="1:31" x14ac:dyDescent="0.25">
      <c r="A21" s="59" t="s">
        <v>83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6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31" x14ac:dyDescent="0.25">
      <c r="A22" s="57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31" x14ac:dyDescent="0.25">
      <c r="A23" s="57"/>
      <c r="B23" s="79"/>
      <c r="C23" s="80" t="s">
        <v>7</v>
      </c>
      <c r="D23" s="80" t="s">
        <v>8</v>
      </c>
      <c r="E23" s="80" t="s">
        <v>9</v>
      </c>
      <c r="F23" s="80" t="s">
        <v>0</v>
      </c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13"/>
    </row>
    <row r="24" spans="1:31" x14ac:dyDescent="0.25">
      <c r="A24" s="57"/>
      <c r="B24" s="97" t="s">
        <v>161</v>
      </c>
      <c r="C24" s="80"/>
      <c r="D24" s="80"/>
      <c r="E24" s="80"/>
      <c r="F24" s="80"/>
      <c r="G24" s="79"/>
      <c r="H24" s="79"/>
      <c r="I24" s="79"/>
      <c r="J24" s="79"/>
      <c r="K24" s="79"/>
      <c r="L24" s="77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13"/>
    </row>
    <row r="25" spans="1:31" x14ac:dyDescent="0.25">
      <c r="A25" s="57"/>
      <c r="B25" s="80" t="s">
        <v>151</v>
      </c>
      <c r="C25" s="142">
        <f>'BenchmarkIOMatrix-1995'!C38+'BenchmarkIOMatrix-1995'!C39</f>
        <v>1601478.1368164283</v>
      </c>
      <c r="D25" s="142">
        <f>'BenchmarkIOMatrix-1995'!D38+'BenchmarkIOMatrix-1995'!D39</f>
        <v>2623476.9469556627</v>
      </c>
      <c r="E25" s="142">
        <f>'BenchmarkIOMatrix-1995'!E38+'BenchmarkIOMatrix-1995'!E39</f>
        <v>1420010.5622377633</v>
      </c>
      <c r="F25" s="142">
        <f>'BenchmarkIOMatrix-1995'!F38+'BenchmarkIOMatrix-1995'!F39</f>
        <v>1760241.9845346857</v>
      </c>
      <c r="G25" s="79"/>
      <c r="H25" s="79"/>
      <c r="I25" s="79"/>
      <c r="J25" s="79"/>
      <c r="K25" s="79"/>
      <c r="L25" s="77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13"/>
    </row>
    <row r="26" spans="1:31" x14ac:dyDescent="0.25">
      <c r="A26" s="57"/>
      <c r="B26" s="7" t="s">
        <v>160</v>
      </c>
      <c r="C26" s="114">
        <f>'BenchmarkIOMatrix-2011'!C55</f>
        <v>0.64342199409156398</v>
      </c>
      <c r="D26" s="114">
        <f>'BenchmarkIOMatrix-2011'!D55</f>
        <v>0.66601164410061842</v>
      </c>
      <c r="E26" s="114">
        <f>'BenchmarkIOMatrix-2011'!E55</f>
        <v>0.67021167462033604</v>
      </c>
      <c r="F26" s="114">
        <f>'BenchmarkIOMatrix-2011'!F55</f>
        <v>0.70948002287251855</v>
      </c>
      <c r="G26" s="79"/>
      <c r="H26" s="79"/>
      <c r="I26" s="79"/>
      <c r="J26" s="79"/>
      <c r="K26" s="79"/>
      <c r="L26" s="77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13"/>
    </row>
    <row r="27" spans="1:31" x14ac:dyDescent="0.25">
      <c r="A27" s="57"/>
      <c r="B27" s="7" t="s">
        <v>159</v>
      </c>
      <c r="C27" s="114">
        <f>C26*C25</f>
        <v>1030426.2562844688</v>
      </c>
      <c r="D27" s="114">
        <f t="shared" ref="D27:F27" si="2">D26*D25</f>
        <v>1747266.1947020118</v>
      </c>
      <c r="E27" s="114">
        <f t="shared" si="2"/>
        <v>951707.65689593623</v>
      </c>
      <c r="F27" s="114">
        <f t="shared" si="2"/>
        <v>1248856.5234488363</v>
      </c>
      <c r="G27" s="79"/>
      <c r="H27" s="79"/>
      <c r="I27" s="79"/>
      <c r="J27" s="79"/>
      <c r="K27" s="79"/>
      <c r="L27" s="77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13"/>
    </row>
    <row r="28" spans="1:31" x14ac:dyDescent="0.25">
      <c r="A28" s="57"/>
      <c r="B28" s="7"/>
      <c r="C28" s="114"/>
      <c r="D28" s="114"/>
      <c r="E28" s="114"/>
      <c r="F28" s="114"/>
      <c r="G28" s="79"/>
      <c r="H28" s="79"/>
      <c r="I28" s="79"/>
      <c r="J28" s="79"/>
      <c r="K28" s="79"/>
      <c r="L28" s="77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13"/>
    </row>
    <row r="29" spans="1:31" x14ac:dyDescent="0.25">
      <c r="A29" s="57"/>
      <c r="B29" s="123" t="s">
        <v>164</v>
      </c>
      <c r="C29" s="114"/>
      <c r="D29" s="114"/>
      <c r="E29" s="114"/>
      <c r="F29" s="114"/>
      <c r="G29" s="79"/>
      <c r="H29" s="79"/>
      <c r="I29" s="79"/>
      <c r="J29" s="79"/>
      <c r="K29" s="79"/>
      <c r="L29" s="77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13"/>
    </row>
    <row r="30" spans="1:31" x14ac:dyDescent="0.25">
      <c r="A30" s="57"/>
      <c r="B30" s="7" t="s">
        <v>163</v>
      </c>
      <c r="C30" s="114">
        <f>'BenchmarkIOMatrix-1995'!C50</f>
        <v>60202.464823480695</v>
      </c>
      <c r="D30" s="114">
        <f>'BenchmarkIOMatrix-1995'!D50</f>
        <v>169777.16514226294</v>
      </c>
      <c r="E30" s="114">
        <f>'BenchmarkIOMatrix-1995'!E50</f>
        <v>-8580.8619920686469</v>
      </c>
      <c r="F30" s="114">
        <f>'BenchmarkIOMatrix-1995'!F50</f>
        <v>-221398.76797367493</v>
      </c>
      <c r="G30" s="79"/>
      <c r="H30" s="79"/>
      <c r="I30" s="79"/>
      <c r="J30" s="79"/>
      <c r="K30" s="79"/>
      <c r="L30" s="77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13"/>
    </row>
    <row r="31" spans="1:31" x14ac:dyDescent="0.25">
      <c r="A31" s="57"/>
      <c r="B31" s="7" t="s">
        <v>168</v>
      </c>
      <c r="C31" s="114">
        <f>(C27-C30)/2</f>
        <v>485111.89573049406</v>
      </c>
      <c r="D31" s="114">
        <f>(D27-D30)/2</f>
        <v>788744.51477987436</v>
      </c>
      <c r="E31" s="114">
        <f>(E27-E30)/2</f>
        <v>480144.25944400241</v>
      </c>
      <c r="F31" s="114">
        <f>(F27-F30)/2</f>
        <v>735127.64571125561</v>
      </c>
      <c r="G31" s="79"/>
      <c r="H31" s="79"/>
      <c r="I31" s="79"/>
      <c r="J31" s="79"/>
      <c r="K31" s="79"/>
      <c r="L31" s="77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113"/>
    </row>
    <row r="32" spans="1:31" ht="16.5" customHeight="1" x14ac:dyDescent="0.25">
      <c r="A32" s="57"/>
      <c r="B32" s="80" t="s">
        <v>169</v>
      </c>
      <c r="C32" s="79">
        <f>C27-C31</f>
        <v>545314.36055397475</v>
      </c>
      <c r="D32" s="79">
        <f>D27-D31</f>
        <v>958521.67992213741</v>
      </c>
      <c r="E32" s="79">
        <f>E27-E31</f>
        <v>471563.39745193382</v>
      </c>
      <c r="F32" s="79">
        <f>F27-F31</f>
        <v>513728.87773758068</v>
      </c>
      <c r="G32" s="79"/>
      <c r="H32" s="79"/>
      <c r="I32" s="79"/>
      <c r="J32" s="79"/>
      <c r="K32" s="79"/>
      <c r="L32" s="77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6.5" customHeight="1" x14ac:dyDescent="0.25">
      <c r="A33" s="57"/>
      <c r="B33" s="80"/>
      <c r="C33" s="79"/>
      <c r="D33" s="79"/>
      <c r="E33" s="79"/>
      <c r="F33" s="79"/>
      <c r="G33" s="79"/>
      <c r="H33" s="79"/>
      <c r="I33" s="79"/>
      <c r="J33" s="79"/>
      <c r="K33" s="79"/>
      <c r="L33" s="77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6.5" customHeight="1" x14ac:dyDescent="0.25">
      <c r="A34" s="57"/>
      <c r="B34" s="97" t="s">
        <v>100</v>
      </c>
      <c r="C34" s="79"/>
      <c r="D34" s="79"/>
      <c r="E34" s="79"/>
      <c r="F34" s="79"/>
      <c r="G34" s="79"/>
      <c r="H34" s="79"/>
      <c r="I34" s="79"/>
      <c r="J34" s="79"/>
      <c r="K34" s="79"/>
      <c r="L34" s="77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6.5" customHeight="1" x14ac:dyDescent="0.25">
      <c r="A35" s="57"/>
      <c r="B35" s="80" t="s">
        <v>165</v>
      </c>
      <c r="C35" s="79">
        <f>'BenchmarkIOMatrix-1995'!C59</f>
        <v>-131229.97796759522</v>
      </c>
      <c r="D35" s="79">
        <f>'BenchmarkIOMatrix-1995'!D59</f>
        <v>201340.66768845159</v>
      </c>
      <c r="E35" s="79">
        <f>'BenchmarkIOMatrix-1995'!E59</f>
        <v>66122.915837712411</v>
      </c>
      <c r="F35" s="79">
        <f>'BenchmarkIOMatrix-1995'!F59</f>
        <v>-136233.60555856931</v>
      </c>
      <c r="G35" s="79"/>
      <c r="H35" s="79"/>
      <c r="I35" s="79"/>
      <c r="J35" s="79"/>
      <c r="K35" s="79"/>
      <c r="L35" s="77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 x14ac:dyDescent="0.25">
      <c r="A36" s="57"/>
      <c r="B36" s="80" t="s">
        <v>162</v>
      </c>
      <c r="C36" s="79">
        <f>C25-C27</f>
        <v>571051.88053195947</v>
      </c>
      <c r="D36" s="79">
        <f t="shared" ref="D36:F36" si="3">D25-D27</f>
        <v>876210.75225365092</v>
      </c>
      <c r="E36" s="79">
        <f t="shared" si="3"/>
        <v>468302.90534182708</v>
      </c>
      <c r="F36" s="79">
        <f t="shared" si="3"/>
        <v>511385.46108584944</v>
      </c>
      <c r="G36" s="79"/>
      <c r="H36" s="79"/>
      <c r="I36" s="79"/>
      <c r="J36" s="79"/>
      <c r="K36" s="79"/>
      <c r="L36" s="77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 x14ac:dyDescent="0.25">
      <c r="A37" s="57"/>
      <c r="B37" s="80" t="s">
        <v>167</v>
      </c>
      <c r="C37" s="79">
        <f>(C36-C35)/2</f>
        <v>351140.92924977734</v>
      </c>
      <c r="D37" s="79">
        <f>(D36-D35)/2</f>
        <v>337435.04228259966</v>
      </c>
      <c r="E37" s="79">
        <f>(E36-E35)/2</f>
        <v>201089.99475205733</v>
      </c>
      <c r="F37" s="79">
        <f>(F36-F35)/2</f>
        <v>323809.53332220938</v>
      </c>
      <c r="G37" s="79"/>
      <c r="H37" s="79"/>
      <c r="I37" s="79"/>
      <c r="J37" s="79"/>
      <c r="K37" s="79"/>
      <c r="L37" s="77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 x14ac:dyDescent="0.25">
      <c r="A38" s="57"/>
      <c r="B38" s="80" t="s">
        <v>166</v>
      </c>
      <c r="C38" s="79">
        <f>C36-C37</f>
        <v>219910.95128218213</v>
      </c>
      <c r="D38" s="79">
        <f>D36-D37</f>
        <v>538775.7099710512</v>
      </c>
      <c r="E38" s="79">
        <f>E36-E37</f>
        <v>267212.91058976972</v>
      </c>
      <c r="F38" s="79">
        <f>F36-F37</f>
        <v>187575.92776364007</v>
      </c>
      <c r="G38" s="79"/>
      <c r="H38" s="79"/>
      <c r="I38" s="79"/>
      <c r="J38" s="79"/>
      <c r="K38" s="79"/>
      <c r="L38" s="77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 x14ac:dyDescent="0.25">
      <c r="A39" s="57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7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5">
      <c r="A40" s="57"/>
      <c r="B40" s="97" t="s">
        <v>95</v>
      </c>
      <c r="C40" s="79"/>
      <c r="D40" s="79"/>
      <c r="E40" s="79"/>
      <c r="F40" s="79"/>
      <c r="G40" s="79"/>
      <c r="H40" s="79"/>
      <c r="I40" s="79"/>
      <c r="J40" s="79"/>
      <c r="K40" s="79"/>
      <c r="L40" s="77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5">
      <c r="A41" s="57"/>
      <c r="B41" s="80" t="s">
        <v>170</v>
      </c>
      <c r="C41" s="79">
        <f>'BenchmarkIOMatrix-1995'!C49</f>
        <v>460580.08244588255</v>
      </c>
      <c r="D41" s="79">
        <f>'BenchmarkIOMatrix-1995'!D49</f>
        <v>732417.3057521584</v>
      </c>
      <c r="E41" s="79">
        <f>'BenchmarkIOMatrix-1995'!E49</f>
        <v>446739.37404517474</v>
      </c>
      <c r="F41" s="79">
        <f>'BenchmarkIOMatrix-1995'!F49</f>
        <v>704001.80358052347</v>
      </c>
      <c r="G41" s="79"/>
      <c r="H41" s="135"/>
      <c r="I41" s="135"/>
      <c r="J41" s="135"/>
      <c r="K41" s="135"/>
      <c r="L41" s="77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5">
      <c r="A42" s="57"/>
      <c r="B42" s="7" t="s">
        <v>96</v>
      </c>
      <c r="C42" s="114">
        <f>C31-C41</f>
        <v>24531.813284611504</v>
      </c>
      <c r="D42" s="114">
        <f>D31-D41</f>
        <v>56327.209027715959</v>
      </c>
      <c r="E42" s="114">
        <f>E31-E41</f>
        <v>33404.885398827668</v>
      </c>
      <c r="F42" s="114">
        <f>F31-F41</f>
        <v>31125.842130732141</v>
      </c>
      <c r="G42" s="79"/>
      <c r="H42" s="79"/>
      <c r="I42" s="79"/>
      <c r="J42" s="79"/>
      <c r="K42" s="2"/>
      <c r="L42" s="13"/>
      <c r="M42" s="5"/>
      <c r="N42" s="5"/>
      <c r="O42" s="5"/>
      <c r="P42" s="5"/>
      <c r="Q42" s="5"/>
      <c r="R42" s="5"/>
      <c r="U42" s="5"/>
      <c r="V42" s="5"/>
      <c r="W42" s="5"/>
      <c r="X42" s="5"/>
      <c r="Y42" s="5"/>
      <c r="Z42" s="5"/>
    </row>
    <row r="43" spans="1:26" x14ac:dyDescent="0.25">
      <c r="A43" s="57"/>
      <c r="B43" s="7" t="s">
        <v>171</v>
      </c>
      <c r="C43" s="114">
        <f>'BenchmarkIOMatrix-1995'!C35</f>
        <v>13475212.938071484</v>
      </c>
      <c r="D43" s="114">
        <f>'BenchmarkIOMatrix-1995'!D35</f>
        <v>27770755.032137431</v>
      </c>
      <c r="E43" s="114">
        <f>'BenchmarkIOMatrix-1995'!E35</f>
        <v>7933043.8338463791</v>
      </c>
      <c r="F43" s="114">
        <f>'BenchmarkIOMatrix-1995'!F35</f>
        <v>6003296.7358794827</v>
      </c>
      <c r="G43" s="138"/>
      <c r="H43" s="2"/>
      <c r="I43" s="2"/>
      <c r="J43" s="2"/>
      <c r="K43" s="2"/>
      <c r="L43" s="13"/>
    </row>
    <row r="44" spans="1:26" x14ac:dyDescent="0.25">
      <c r="A44" s="57"/>
      <c r="B44" s="7" t="s">
        <v>104</v>
      </c>
      <c r="C44" s="114">
        <f>C43+C42</f>
        <v>13499744.751356095</v>
      </c>
      <c r="D44" s="114">
        <f>D43+D42</f>
        <v>27827082.241165146</v>
      </c>
      <c r="E44" s="114">
        <f>E43+E42</f>
        <v>7966448.7192452066</v>
      </c>
      <c r="F44" s="114">
        <f>F43+F42</f>
        <v>6034422.5780102145</v>
      </c>
      <c r="G44" s="2"/>
      <c r="H44" s="2"/>
      <c r="I44" s="2"/>
      <c r="J44" s="2"/>
      <c r="K44" s="2"/>
      <c r="L44" s="13"/>
    </row>
    <row r="45" spans="1:26" ht="13.5" customHeight="1" x14ac:dyDescent="0.25">
      <c r="A45" s="98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7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5">
      <c r="A46" s="14"/>
      <c r="B46" s="44" t="s">
        <v>97</v>
      </c>
      <c r="C46" s="2"/>
      <c r="D46" s="2"/>
      <c r="E46" s="2"/>
      <c r="F46" s="2"/>
      <c r="G46" s="2"/>
      <c r="H46" s="2"/>
      <c r="I46" s="2"/>
      <c r="J46" s="2"/>
      <c r="K46" s="2"/>
      <c r="L46" s="13"/>
    </row>
    <row r="47" spans="1:26" x14ac:dyDescent="0.25">
      <c r="A47" s="14"/>
      <c r="B47" s="43" t="s">
        <v>172</v>
      </c>
      <c r="C47" s="114">
        <f>'BenchmarkIOMatrix-1995'!C68/'BenchmarkIOMatrix-1995'!C58</f>
        <v>0.56792713865963518</v>
      </c>
      <c r="D47" s="114">
        <f>'BenchmarkIOMatrix-1995'!D68/'BenchmarkIOMatrix-1995'!D58</f>
        <v>0.73167999127416861</v>
      </c>
      <c r="E47" s="114">
        <f>'BenchmarkIOMatrix-1995'!E68/'BenchmarkIOMatrix-1995'!E58</f>
        <v>0.52030128151655219</v>
      </c>
      <c r="F47" s="114">
        <f>'BenchmarkIOMatrix-1995'!F68/'BenchmarkIOMatrix-1995'!F58</f>
        <v>0.5000890789878103</v>
      </c>
      <c r="G47" s="2"/>
      <c r="H47" s="2"/>
      <c r="I47" s="2"/>
      <c r="J47" s="2"/>
      <c r="K47" s="2"/>
      <c r="L47" s="13"/>
    </row>
    <row r="48" spans="1:26" x14ac:dyDescent="0.25">
      <c r="A48" s="14"/>
      <c r="B48" s="43" t="s">
        <v>173</v>
      </c>
      <c r="C48" s="114">
        <f>1-C47</f>
        <v>0.43207286134036482</v>
      </c>
      <c r="D48" s="114">
        <f t="shared" ref="D48:F48" si="4">1-D47</f>
        <v>0.26832000872583139</v>
      </c>
      <c r="E48" s="114">
        <f t="shared" si="4"/>
        <v>0.47969871848344781</v>
      </c>
      <c r="F48" s="114">
        <f t="shared" si="4"/>
        <v>0.4999109210121897</v>
      </c>
      <c r="G48" s="2"/>
      <c r="H48" s="2"/>
      <c r="I48" s="2"/>
      <c r="J48" s="2"/>
      <c r="K48" s="2"/>
      <c r="L48" s="13"/>
    </row>
    <row r="49" spans="1:12" x14ac:dyDescent="0.25">
      <c r="A49" s="14"/>
      <c r="B49" s="43" t="s">
        <v>174</v>
      </c>
      <c r="C49" s="114">
        <f>C47*C37</f>
        <v>199422.46321511143</v>
      </c>
      <c r="D49" s="114">
        <f t="shared" ref="D49:F49" si="5">D47*D37</f>
        <v>246894.46879293123</v>
      </c>
      <c r="E49" s="114">
        <f t="shared" si="5"/>
        <v>104627.38196965218</v>
      </c>
      <c r="F49" s="114">
        <f t="shared" si="5"/>
        <v>161933.61128657634</v>
      </c>
      <c r="G49" s="2"/>
      <c r="H49" s="2"/>
      <c r="I49" s="2"/>
      <c r="J49" s="2"/>
      <c r="K49" s="2"/>
      <c r="L49" s="13"/>
    </row>
    <row r="50" spans="1:12" x14ac:dyDescent="0.25">
      <c r="A50" s="14"/>
      <c r="B50" s="43" t="s">
        <v>175</v>
      </c>
      <c r="C50" s="114">
        <f>C48*C37</f>
        <v>151718.46603466591</v>
      </c>
      <c r="D50" s="114">
        <f t="shared" ref="D50:F50" si="6">D48*D37</f>
        <v>90540.57348966843</v>
      </c>
      <c r="E50" s="114">
        <f t="shared" si="6"/>
        <v>96462.612782405151</v>
      </c>
      <c r="F50" s="114">
        <f t="shared" si="6"/>
        <v>161875.92203563303</v>
      </c>
      <c r="G50" s="2"/>
      <c r="H50" s="2"/>
      <c r="I50" s="2"/>
      <c r="J50" s="2"/>
      <c r="K50" s="2"/>
      <c r="L50" s="13"/>
    </row>
    <row r="51" spans="1:12" x14ac:dyDescent="0.25">
      <c r="A51" s="14"/>
      <c r="B51" s="43"/>
      <c r="C51" s="114"/>
      <c r="D51" s="114"/>
      <c r="E51" s="114"/>
      <c r="F51" s="114"/>
      <c r="G51" s="2"/>
      <c r="H51" s="2"/>
      <c r="I51" s="2"/>
      <c r="J51" s="2"/>
      <c r="K51" s="2"/>
      <c r="L51" s="13"/>
    </row>
    <row r="52" spans="1:12" x14ac:dyDescent="0.25">
      <c r="A52" s="14"/>
      <c r="B52" s="44" t="s">
        <v>101</v>
      </c>
      <c r="C52" s="114"/>
      <c r="D52" s="114"/>
      <c r="E52" s="114"/>
      <c r="F52" s="114"/>
      <c r="G52" s="2"/>
      <c r="H52" s="2"/>
      <c r="I52" s="2"/>
      <c r="J52" s="2"/>
      <c r="K52" s="2"/>
      <c r="L52" s="13"/>
    </row>
    <row r="53" spans="1:12" x14ac:dyDescent="0.25">
      <c r="A53" s="14"/>
      <c r="B53" s="106" t="s">
        <v>176</v>
      </c>
      <c r="C53" s="114">
        <f>'BenchmarkIOMatrix-1995'!G28</f>
        <v>6140303.91866899</v>
      </c>
      <c r="D53" s="114">
        <f>'BenchmarkIOMatrix-1995'!H28</f>
        <v>10992143.318751996</v>
      </c>
      <c r="E53" s="114">
        <f>'BenchmarkIOMatrix-1995'!I28</f>
        <v>2693920.330167009</v>
      </c>
      <c r="F53" s="114">
        <f>'BenchmarkIOMatrix-1995'!J28</f>
        <v>2635709.746995999</v>
      </c>
      <c r="G53" s="2"/>
      <c r="H53" s="2"/>
      <c r="I53" s="2"/>
      <c r="J53" s="2"/>
      <c r="K53" s="2"/>
      <c r="L53" s="13"/>
    </row>
    <row r="54" spans="1:12" x14ac:dyDescent="0.25">
      <c r="A54" s="14"/>
      <c r="B54" s="106" t="s">
        <v>177</v>
      </c>
      <c r="C54" s="114">
        <f>'BenchmarkIOMatrix-1995'!K28</f>
        <v>1380552.183668989</v>
      </c>
      <c r="D54" s="114">
        <f>'BenchmarkIOMatrix-1995'!L28</f>
        <v>3400009.7559459996</v>
      </c>
      <c r="E54" s="114">
        <f>'BenchmarkIOMatrix-1995'!M28</f>
        <v>1093935.0917260027</v>
      </c>
      <c r="F54" s="114">
        <f>'BenchmarkIOMatrix-1995'!N28</f>
        <v>821984.53737499891</v>
      </c>
      <c r="G54" s="2"/>
      <c r="H54" s="2"/>
      <c r="I54" s="2"/>
      <c r="J54" s="2"/>
      <c r="K54" s="2"/>
      <c r="L54" s="13"/>
    </row>
    <row r="55" spans="1:12" x14ac:dyDescent="0.25">
      <c r="A55" s="14"/>
      <c r="B55" s="106" t="s">
        <v>122</v>
      </c>
      <c r="C55" s="114">
        <f>C32-C31+C38-C37</f>
        <v>-71027.51314411452</v>
      </c>
      <c r="D55" s="114">
        <f>D32-D31+D38-D37</f>
        <v>371117.83283071459</v>
      </c>
      <c r="E55" s="114">
        <f>E32-E31+E38-E37</f>
        <v>57542.053845643793</v>
      </c>
      <c r="F55" s="114">
        <f>-SUM(C55:E55)</f>
        <v>-357632.37353224389</v>
      </c>
      <c r="G55" s="2"/>
      <c r="H55" s="2"/>
      <c r="I55" s="2"/>
      <c r="J55" s="2"/>
      <c r="K55" s="2"/>
      <c r="L55" s="13"/>
    </row>
    <row r="56" spans="1:12" x14ac:dyDescent="0.25">
      <c r="A56" s="14"/>
      <c r="B56" s="106" t="s">
        <v>73</v>
      </c>
      <c r="C56" s="114">
        <f>'BenchmarkIOMatrix-1995'!C40-'Alt3-IO'!C55</f>
        <v>0</v>
      </c>
      <c r="D56" s="114">
        <f>'BenchmarkIOMatrix-1995'!D40-'Alt3-IO'!D55</f>
        <v>0</v>
      </c>
      <c r="E56" s="114">
        <f>'BenchmarkIOMatrix-1995'!E40-'Alt3-IO'!E55</f>
        <v>0</v>
      </c>
      <c r="F56" s="114">
        <f>'BenchmarkIOMatrix-1995'!F40-'Alt3-IO'!F55</f>
        <v>0</v>
      </c>
      <c r="G56" s="2"/>
      <c r="H56" s="2"/>
      <c r="I56" s="2"/>
      <c r="J56" s="2"/>
      <c r="K56" s="2"/>
      <c r="L56" s="13"/>
    </row>
    <row r="57" spans="1:12" x14ac:dyDescent="0.25">
      <c r="A57" s="14"/>
      <c r="B57" s="106" t="s">
        <v>107</v>
      </c>
      <c r="C57" s="79">
        <f>C53/(C53+C54)</f>
        <v>0.81643683047734128</v>
      </c>
      <c r="D57" s="79">
        <f t="shared" ref="D57:F57" si="7">D53/(D53+D54)</f>
        <v>0.76375947793917243</v>
      </c>
      <c r="E57" s="79">
        <f t="shared" si="7"/>
        <v>0.71119935428282532</v>
      </c>
      <c r="F57" s="79">
        <f t="shared" si="7"/>
        <v>0.76227379583833588</v>
      </c>
      <c r="G57" s="2"/>
      <c r="H57" s="2"/>
      <c r="I57" s="2"/>
      <c r="J57" s="2"/>
      <c r="K57" s="2"/>
      <c r="L57" s="13"/>
    </row>
    <row r="58" spans="1:12" x14ac:dyDescent="0.25">
      <c r="A58" s="14"/>
      <c r="B58" s="106" t="s">
        <v>108</v>
      </c>
      <c r="C58" s="79">
        <f>1-C57</f>
        <v>0.18356316952265872</v>
      </c>
      <c r="D58" s="79">
        <f t="shared" ref="D58:F58" si="8">1-D57</f>
        <v>0.23624052206082757</v>
      </c>
      <c r="E58" s="79">
        <f t="shared" si="8"/>
        <v>0.28880064571717468</v>
      </c>
      <c r="F58" s="79">
        <f t="shared" si="8"/>
        <v>0.23772620416166412</v>
      </c>
      <c r="G58" s="2"/>
      <c r="H58" s="2"/>
      <c r="I58" s="2"/>
      <c r="J58" s="2"/>
      <c r="K58" s="2"/>
      <c r="L58" s="13"/>
    </row>
    <row r="59" spans="1:12" x14ac:dyDescent="0.25">
      <c r="A59" s="14"/>
      <c r="B59" s="43" t="s">
        <v>139</v>
      </c>
      <c r="C59" s="114">
        <f>C53-C57*C56</f>
        <v>6140303.91866899</v>
      </c>
      <c r="D59" s="114">
        <f t="shared" ref="D59:F59" si="9">D53-D57*D56</f>
        <v>10992143.318751996</v>
      </c>
      <c r="E59" s="114">
        <f t="shared" si="9"/>
        <v>2693920.330167009</v>
      </c>
      <c r="F59" s="114">
        <f t="shared" si="9"/>
        <v>2635709.746995999</v>
      </c>
      <c r="G59" s="2"/>
      <c r="H59" s="2"/>
      <c r="I59" s="2"/>
      <c r="J59" s="2"/>
      <c r="K59" s="2"/>
      <c r="L59" s="13"/>
    </row>
    <row r="60" spans="1:12" x14ac:dyDescent="0.25">
      <c r="A60" s="14"/>
      <c r="B60" s="43" t="s">
        <v>140</v>
      </c>
      <c r="C60" s="114">
        <f>C54-C58*C56</f>
        <v>1380552.183668989</v>
      </c>
      <c r="D60" s="114">
        <f t="shared" ref="D60:F60" si="10">D54-D58*D56</f>
        <v>3400009.7559459996</v>
      </c>
      <c r="E60" s="114">
        <f t="shared" si="10"/>
        <v>1093935.0917260027</v>
      </c>
      <c r="F60" s="114">
        <f t="shared" si="10"/>
        <v>821984.53737499891</v>
      </c>
      <c r="G60" s="2"/>
      <c r="H60" s="2"/>
      <c r="I60" s="2"/>
      <c r="J60" s="2"/>
      <c r="K60" s="2"/>
      <c r="L60" s="13"/>
    </row>
    <row r="61" spans="1:12" x14ac:dyDescent="0.25">
      <c r="A61" s="14"/>
      <c r="B61" s="106" t="s">
        <v>141</v>
      </c>
      <c r="C61" s="114">
        <f>C59-C49</f>
        <v>5940881.4554538783</v>
      </c>
      <c r="D61" s="114">
        <f t="shared" ref="D61:F61" si="11">D59-D49</f>
        <v>10745248.849959064</v>
      </c>
      <c r="E61" s="114">
        <f t="shared" si="11"/>
        <v>2589292.9481973569</v>
      </c>
      <c r="F61" s="114">
        <f t="shared" si="11"/>
        <v>2473776.1357094226</v>
      </c>
      <c r="G61" s="2"/>
      <c r="H61" s="2"/>
      <c r="I61" s="2"/>
      <c r="J61" s="2"/>
      <c r="K61" s="2"/>
      <c r="L61" s="13"/>
    </row>
    <row r="62" spans="1:12" x14ac:dyDescent="0.25">
      <c r="A62" s="14"/>
      <c r="B62" s="106" t="s">
        <v>142</v>
      </c>
      <c r="C62" s="114">
        <f>C60-C50</f>
        <v>1228833.7176343231</v>
      </c>
      <c r="D62" s="114">
        <f t="shared" ref="D62:F62" si="12">D60-D50</f>
        <v>3309469.1824563313</v>
      </c>
      <c r="E62" s="114">
        <f t="shared" si="12"/>
        <v>997472.47894359764</v>
      </c>
      <c r="F62" s="114">
        <f t="shared" si="12"/>
        <v>660108.6153393659</v>
      </c>
      <c r="G62" s="2"/>
      <c r="H62" s="2"/>
      <c r="I62" s="2"/>
      <c r="J62" s="2"/>
      <c r="K62" s="2"/>
      <c r="L62" s="13"/>
    </row>
    <row r="63" spans="1:12" x14ac:dyDescent="0.25">
      <c r="A63" s="14"/>
      <c r="B63" s="44"/>
      <c r="C63" s="114"/>
      <c r="D63" s="114"/>
      <c r="E63" s="114"/>
      <c r="F63" s="114"/>
      <c r="G63" s="2"/>
      <c r="H63" s="2"/>
      <c r="I63" s="2"/>
      <c r="J63" s="2"/>
      <c r="K63" s="2"/>
      <c r="L63" s="13"/>
    </row>
    <row r="65" spans="1:30" x14ac:dyDescent="0.25">
      <c r="A65" s="59" t="s">
        <v>84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5"/>
    </row>
    <row r="66" spans="1:30" x14ac:dyDescent="0.25">
      <c r="A66" s="14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13"/>
    </row>
    <row r="67" spans="1:30" ht="15" customHeight="1" x14ac:dyDescent="0.25">
      <c r="A67" s="14"/>
      <c r="B67" s="2"/>
      <c r="C67" s="157" t="s">
        <v>26</v>
      </c>
      <c r="D67" s="158"/>
      <c r="E67" s="158"/>
      <c r="F67" s="158"/>
      <c r="G67" s="158"/>
      <c r="H67" s="158"/>
      <c r="I67" s="158"/>
      <c r="J67" s="159"/>
      <c r="K67" s="157" t="s">
        <v>5</v>
      </c>
      <c r="L67" s="158"/>
      <c r="M67" s="158"/>
      <c r="N67" s="158"/>
      <c r="O67" s="158"/>
      <c r="P67" s="158"/>
      <c r="Q67" s="158"/>
      <c r="R67" s="159"/>
      <c r="S67" s="157" t="s">
        <v>3</v>
      </c>
      <c r="T67" s="158"/>
      <c r="U67" s="158"/>
      <c r="V67" s="158"/>
      <c r="W67" s="158"/>
      <c r="X67" s="158"/>
      <c r="Y67" s="158"/>
      <c r="Z67" s="160"/>
      <c r="AA67" s="2"/>
      <c r="AB67" s="2"/>
      <c r="AC67" s="2"/>
      <c r="AD67" s="13"/>
    </row>
    <row r="68" spans="1:30" ht="15.75" thickBot="1" x14ac:dyDescent="0.3">
      <c r="A68" s="14"/>
      <c r="B68" s="2"/>
      <c r="C68" s="23" t="s">
        <v>14</v>
      </c>
      <c r="D68" s="24" t="s">
        <v>22</v>
      </c>
      <c r="E68" s="24" t="s">
        <v>15</v>
      </c>
      <c r="F68" s="24" t="s">
        <v>23</v>
      </c>
      <c r="G68" s="24" t="s">
        <v>16</v>
      </c>
      <c r="H68" s="24" t="s">
        <v>24</v>
      </c>
      <c r="I68" s="24" t="s">
        <v>17</v>
      </c>
      <c r="J68" s="25" t="s">
        <v>25</v>
      </c>
      <c r="K68" s="23" t="s">
        <v>14</v>
      </c>
      <c r="L68" s="24" t="s">
        <v>22</v>
      </c>
      <c r="M68" s="24" t="s">
        <v>15</v>
      </c>
      <c r="N68" s="24" t="s">
        <v>23</v>
      </c>
      <c r="O68" s="24" t="s">
        <v>16</v>
      </c>
      <c r="P68" s="24" t="s">
        <v>24</v>
      </c>
      <c r="Q68" s="24" t="s">
        <v>17</v>
      </c>
      <c r="R68" s="25" t="s">
        <v>25</v>
      </c>
      <c r="S68" s="23" t="s">
        <v>14</v>
      </c>
      <c r="T68" s="24" t="s">
        <v>22</v>
      </c>
      <c r="U68" s="24" t="s">
        <v>15</v>
      </c>
      <c r="V68" s="24" t="s">
        <v>23</v>
      </c>
      <c r="W68" s="24" t="s">
        <v>16</v>
      </c>
      <c r="X68" s="24" t="s">
        <v>24</v>
      </c>
      <c r="Y68" s="24" t="s">
        <v>17</v>
      </c>
      <c r="Z68" s="38" t="s">
        <v>25</v>
      </c>
      <c r="AA68" s="2"/>
      <c r="AB68" s="9" t="s">
        <v>75</v>
      </c>
      <c r="AC68" s="9" t="s">
        <v>39</v>
      </c>
      <c r="AD68" s="112" t="s">
        <v>76</v>
      </c>
    </row>
    <row r="69" spans="1:30" ht="15.75" thickTop="1" x14ac:dyDescent="0.25">
      <c r="A69" s="161" t="s">
        <v>43</v>
      </c>
      <c r="B69" s="22" t="s">
        <v>14</v>
      </c>
      <c r="C69" s="26">
        <v>5564804.2664317656</v>
      </c>
      <c r="D69" s="27">
        <v>0</v>
      </c>
      <c r="E69" s="27">
        <v>0</v>
      </c>
      <c r="F69" s="27">
        <v>0</v>
      </c>
      <c r="G69" s="28">
        <v>0</v>
      </c>
      <c r="H69" s="28">
        <v>0</v>
      </c>
      <c r="I69" s="28">
        <v>0</v>
      </c>
      <c r="J69" s="29">
        <v>0</v>
      </c>
      <c r="K69" s="26">
        <v>5940881.4554538783</v>
      </c>
      <c r="L69" s="27">
        <v>0</v>
      </c>
      <c r="M69" s="27">
        <v>0</v>
      </c>
      <c r="N69" s="27">
        <v>0</v>
      </c>
      <c r="O69" s="28">
        <v>0</v>
      </c>
      <c r="P69" s="28">
        <v>0</v>
      </c>
      <c r="Q69" s="28">
        <v>0</v>
      </c>
      <c r="R69" s="29">
        <v>0</v>
      </c>
      <c r="S69" s="26">
        <v>1228833.7176343231</v>
      </c>
      <c r="T69" s="27">
        <v>0</v>
      </c>
      <c r="U69" s="27">
        <v>0</v>
      </c>
      <c r="V69" s="27">
        <v>0</v>
      </c>
      <c r="W69" s="28">
        <v>0</v>
      </c>
      <c r="X69" s="28">
        <v>0</v>
      </c>
      <c r="Y69" s="28">
        <v>0</v>
      </c>
      <c r="Z69" s="39">
        <v>0</v>
      </c>
      <c r="AA69" s="2"/>
      <c r="AB69" s="48">
        <f>SUM(C69:Z69)</f>
        <v>12734519.439519968</v>
      </c>
      <c r="AC69" s="48">
        <f t="shared" ref="AC69:AC77" si="13">AC7</f>
        <v>12734519.439519938</v>
      </c>
      <c r="AD69" s="52">
        <f>AC69-AB69</f>
        <v>-2.9802322387695313E-8</v>
      </c>
    </row>
    <row r="70" spans="1:30" x14ac:dyDescent="0.25">
      <c r="A70" s="161"/>
      <c r="B70" s="22" t="s">
        <v>18</v>
      </c>
      <c r="C70" s="26">
        <v>0</v>
      </c>
      <c r="D70" s="27">
        <v>0</v>
      </c>
      <c r="E70" s="27">
        <v>0</v>
      </c>
      <c r="F70" s="27">
        <v>246665.08590243309</v>
      </c>
      <c r="G70" s="30">
        <v>0</v>
      </c>
      <c r="H70" s="30">
        <v>101354.3090165913</v>
      </c>
      <c r="I70" s="30">
        <v>0</v>
      </c>
      <c r="J70" s="29">
        <v>204748.85220590205</v>
      </c>
      <c r="K70" s="26">
        <v>0</v>
      </c>
      <c r="L70" s="27">
        <v>0</v>
      </c>
      <c r="M70" s="27">
        <v>0</v>
      </c>
      <c r="N70" s="27">
        <v>69219.786289492826</v>
      </c>
      <c r="O70" s="30">
        <v>0</v>
      </c>
      <c r="P70" s="30">
        <v>20334.544472252659</v>
      </c>
      <c r="Q70" s="30">
        <v>0</v>
      </c>
      <c r="R70" s="29">
        <v>35661.389069443707</v>
      </c>
      <c r="S70" s="26">
        <v>0</v>
      </c>
      <c r="T70" s="27">
        <v>0</v>
      </c>
      <c r="U70" s="27">
        <v>0</v>
      </c>
      <c r="V70" s="27">
        <v>43926.571466463574</v>
      </c>
      <c r="W70" s="27">
        <v>0</v>
      </c>
      <c r="X70" s="27">
        <v>19831.767476516325</v>
      </c>
      <c r="Y70" s="27">
        <v>0</v>
      </c>
      <c r="Z70" s="39">
        <v>23483.005937503229</v>
      </c>
      <c r="AA70" s="2"/>
      <c r="AB70" s="48">
        <f t="shared" ref="AB70:AB77" si="14">SUM(C70:Z70)</f>
        <v>765225.31183659879</v>
      </c>
      <c r="AC70" s="48">
        <f t="shared" si="13"/>
        <v>765225.31183615688</v>
      </c>
      <c r="AD70" s="52">
        <f t="shared" ref="AD70:AD77" si="15">AC70-AB70</f>
        <v>-4.4191256165504456E-7</v>
      </c>
    </row>
    <row r="71" spans="1:30" x14ac:dyDescent="0.25">
      <c r="A71" s="161"/>
      <c r="B71" s="22" t="s">
        <v>15</v>
      </c>
      <c r="C71" s="26">
        <v>0</v>
      </c>
      <c r="D71" s="27">
        <v>0</v>
      </c>
      <c r="E71" s="27">
        <v>12275066.818856552</v>
      </c>
      <c r="F71" s="27">
        <v>0</v>
      </c>
      <c r="G71" s="35">
        <v>0</v>
      </c>
      <c r="H71" s="35">
        <v>0</v>
      </c>
      <c r="I71" s="35">
        <v>0</v>
      </c>
      <c r="J71" s="36">
        <v>0</v>
      </c>
      <c r="K71" s="26">
        <v>0</v>
      </c>
      <c r="L71" s="27">
        <v>0</v>
      </c>
      <c r="M71" s="27">
        <v>10745248.849959064</v>
      </c>
      <c r="N71" s="27">
        <v>0</v>
      </c>
      <c r="O71" s="35">
        <v>0</v>
      </c>
      <c r="P71" s="35">
        <v>0</v>
      </c>
      <c r="Q71" s="35">
        <v>0</v>
      </c>
      <c r="R71" s="36">
        <v>0</v>
      </c>
      <c r="S71" s="26">
        <v>0</v>
      </c>
      <c r="T71" s="27">
        <v>0</v>
      </c>
      <c r="U71" s="27">
        <v>3309469.1824563313</v>
      </c>
      <c r="V71" s="27">
        <v>0</v>
      </c>
      <c r="W71" s="35">
        <v>0</v>
      </c>
      <c r="X71" s="35">
        <v>0</v>
      </c>
      <c r="Y71" s="35">
        <v>0</v>
      </c>
      <c r="Z71" s="40">
        <v>0</v>
      </c>
      <c r="AA71" s="2"/>
      <c r="AB71" s="48">
        <f t="shared" si="14"/>
        <v>26329784.85127195</v>
      </c>
      <c r="AC71" s="48">
        <f t="shared" si="13"/>
        <v>26329784.851271957</v>
      </c>
      <c r="AD71" s="52">
        <f t="shared" si="15"/>
        <v>0</v>
      </c>
    </row>
    <row r="72" spans="1:30" x14ac:dyDescent="0.25">
      <c r="A72" s="161"/>
      <c r="B72" s="22" t="s">
        <v>19</v>
      </c>
      <c r="C72" s="26">
        <v>0</v>
      </c>
      <c r="D72" s="27">
        <v>276747.28486813803</v>
      </c>
      <c r="E72" s="27">
        <v>0</v>
      </c>
      <c r="F72" s="27">
        <v>0</v>
      </c>
      <c r="G72" s="27">
        <v>0</v>
      </c>
      <c r="H72" s="27">
        <v>261633.54379824849</v>
      </c>
      <c r="I72" s="27">
        <v>0</v>
      </c>
      <c r="J72" s="37">
        <v>417904.20655172592</v>
      </c>
      <c r="K72" s="26">
        <v>0</v>
      </c>
      <c r="L72" s="27">
        <v>90417.182504532844</v>
      </c>
      <c r="M72" s="27">
        <v>0</v>
      </c>
      <c r="N72" s="27">
        <v>0</v>
      </c>
      <c r="O72" s="27">
        <v>0</v>
      </c>
      <c r="P72" s="27">
        <v>62087.725633124574</v>
      </c>
      <c r="Q72" s="27">
        <v>0</v>
      </c>
      <c r="R72" s="37">
        <v>101118.30077683898</v>
      </c>
      <c r="S72" s="26">
        <v>0</v>
      </c>
      <c r="T72" s="27">
        <v>102896.53145086674</v>
      </c>
      <c r="U72" s="27">
        <v>0</v>
      </c>
      <c r="V72" s="27">
        <v>0</v>
      </c>
      <c r="W72" s="27">
        <v>0</v>
      </c>
      <c r="X72" s="27">
        <v>69283.109676904511</v>
      </c>
      <c r="Y72" s="27">
        <v>0</v>
      </c>
      <c r="Z72" s="39">
        <v>115209.50463093512</v>
      </c>
      <c r="AA72" s="2"/>
      <c r="AB72" s="48">
        <f t="shared" si="14"/>
        <v>1497297.3898913153</v>
      </c>
      <c r="AC72" s="48">
        <f t="shared" si="13"/>
        <v>1497297.3898931886</v>
      </c>
      <c r="AD72" s="52">
        <f t="shared" si="15"/>
        <v>1.873355358839035E-6</v>
      </c>
    </row>
    <row r="73" spans="1:30" x14ac:dyDescent="0.25">
      <c r="A73" s="161"/>
      <c r="B73" s="78" t="s">
        <v>16</v>
      </c>
      <c r="C73" s="26">
        <v>0</v>
      </c>
      <c r="D73" s="27">
        <v>0</v>
      </c>
      <c r="E73" s="27">
        <v>0</v>
      </c>
      <c r="F73" s="27">
        <v>0</v>
      </c>
      <c r="G73" s="27">
        <v>3640906.9840625534</v>
      </c>
      <c r="H73" s="27">
        <v>0</v>
      </c>
      <c r="I73" s="27">
        <v>0</v>
      </c>
      <c r="J73" s="37">
        <v>0</v>
      </c>
      <c r="K73" s="26">
        <v>0</v>
      </c>
      <c r="L73" s="27">
        <v>0</v>
      </c>
      <c r="M73" s="27">
        <v>0</v>
      </c>
      <c r="N73" s="27">
        <v>0</v>
      </c>
      <c r="O73" s="27">
        <v>2589292.9481973569</v>
      </c>
      <c r="P73" s="27">
        <v>0</v>
      </c>
      <c r="Q73" s="27">
        <v>0</v>
      </c>
      <c r="R73" s="37">
        <v>0</v>
      </c>
      <c r="S73" s="26">
        <v>0</v>
      </c>
      <c r="T73" s="27">
        <v>0</v>
      </c>
      <c r="U73" s="27">
        <v>0</v>
      </c>
      <c r="V73" s="27">
        <v>0</v>
      </c>
      <c r="W73" s="27">
        <v>997472.47894359764</v>
      </c>
      <c r="X73" s="27">
        <v>0</v>
      </c>
      <c r="Y73" s="27">
        <v>0</v>
      </c>
      <c r="Z73" s="39">
        <v>0</v>
      </c>
      <c r="AA73" s="2"/>
      <c r="AB73" s="48">
        <f t="shared" si="14"/>
        <v>7227672.4112035073</v>
      </c>
      <c r="AC73" s="48">
        <f t="shared" si="13"/>
        <v>7227672.4112035027</v>
      </c>
      <c r="AD73" s="52">
        <f t="shared" si="15"/>
        <v>0</v>
      </c>
    </row>
    <row r="74" spans="1:30" x14ac:dyDescent="0.25">
      <c r="A74" s="161"/>
      <c r="B74" s="78" t="s">
        <v>20</v>
      </c>
      <c r="C74" s="26">
        <v>0</v>
      </c>
      <c r="D74" s="27">
        <v>100571.07725288712</v>
      </c>
      <c r="E74" s="27">
        <v>0</v>
      </c>
      <c r="F74" s="27">
        <v>256023.6692553797</v>
      </c>
      <c r="G74" s="27">
        <v>0</v>
      </c>
      <c r="H74" s="27">
        <v>0</v>
      </c>
      <c r="I74" s="27">
        <v>0</v>
      </c>
      <c r="J74" s="37">
        <v>112474.58695362767</v>
      </c>
      <c r="K74" s="26">
        <v>0</v>
      </c>
      <c r="L74" s="27">
        <v>65301.376521476544</v>
      </c>
      <c r="M74" s="27">
        <v>0</v>
      </c>
      <c r="N74" s="27">
        <v>102502.89839925765</v>
      </c>
      <c r="O74" s="27">
        <v>0</v>
      </c>
      <c r="P74" s="27">
        <v>0</v>
      </c>
      <c r="Q74" s="27">
        <v>0</v>
      </c>
      <c r="R74" s="37">
        <v>25153.921440293649</v>
      </c>
      <c r="S74" s="26">
        <v>0</v>
      </c>
      <c r="T74" s="27">
        <v>28664.347675053439</v>
      </c>
      <c r="U74" s="27">
        <v>0</v>
      </c>
      <c r="V74" s="27">
        <v>24901.019077202054</v>
      </c>
      <c r="W74" s="27">
        <v>0</v>
      </c>
      <c r="X74" s="27">
        <v>0</v>
      </c>
      <c r="Y74" s="27">
        <v>0</v>
      </c>
      <c r="Z74" s="39">
        <v>23183.411467194714</v>
      </c>
      <c r="AA74" s="2"/>
      <c r="AB74" s="48">
        <f t="shared" si="14"/>
        <v>738776.30804237258</v>
      </c>
      <c r="AC74" s="48">
        <f t="shared" si="13"/>
        <v>738776.30804170354</v>
      </c>
      <c r="AD74" s="52">
        <f t="shared" si="15"/>
        <v>-6.6903885453939438E-7</v>
      </c>
    </row>
    <row r="75" spans="1:30" x14ac:dyDescent="0.25">
      <c r="A75" s="161"/>
      <c r="B75" s="78" t="s">
        <v>17</v>
      </c>
      <c r="C75" s="26">
        <v>0</v>
      </c>
      <c r="D75" s="27">
        <v>0</v>
      </c>
      <c r="E75" s="27">
        <v>0</v>
      </c>
      <c r="F75" s="27">
        <v>0</v>
      </c>
      <c r="G75" s="27">
        <v>0</v>
      </c>
      <c r="H75" s="27">
        <v>0</v>
      </c>
      <c r="I75" s="27">
        <v>2199233.0214602062</v>
      </c>
      <c r="J75" s="37">
        <v>0</v>
      </c>
      <c r="K75" s="26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2473776.1357094226</v>
      </c>
      <c r="R75" s="37">
        <v>0</v>
      </c>
      <c r="S75" s="26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660108.6153393659</v>
      </c>
      <c r="Z75" s="39">
        <v>0</v>
      </c>
      <c r="AA75" s="2"/>
      <c r="AB75" s="48">
        <f t="shared" si="14"/>
        <v>5333117.7725089947</v>
      </c>
      <c r="AC75" s="48">
        <f t="shared" si="13"/>
        <v>5333117.7725089937</v>
      </c>
      <c r="AD75" s="52">
        <f t="shared" si="15"/>
        <v>0</v>
      </c>
    </row>
    <row r="76" spans="1:30" x14ac:dyDescent="0.25">
      <c r="A76" s="161"/>
      <c r="B76" s="78" t="s">
        <v>21</v>
      </c>
      <c r="C76" s="26">
        <v>0</v>
      </c>
      <c r="D76" s="27">
        <v>107793.53360946888</v>
      </c>
      <c r="E76" s="27">
        <v>0</v>
      </c>
      <c r="F76" s="27">
        <v>286055.75962206157</v>
      </c>
      <c r="G76" s="30">
        <v>0</v>
      </c>
      <c r="H76" s="30">
        <v>117156.40662916261</v>
      </c>
      <c r="I76" s="30">
        <v>0</v>
      </c>
      <c r="J76" s="29">
        <v>0</v>
      </c>
      <c r="K76" s="26">
        <v>0</v>
      </c>
      <c r="L76" s="27">
        <v>43703.904189102017</v>
      </c>
      <c r="M76" s="27">
        <v>0</v>
      </c>
      <c r="N76" s="27">
        <v>75171.784104180711</v>
      </c>
      <c r="O76" s="27">
        <v>0</v>
      </c>
      <c r="P76" s="27">
        <v>22205.11186427495</v>
      </c>
      <c r="Q76" s="27">
        <v>0</v>
      </c>
      <c r="R76" s="37">
        <v>0</v>
      </c>
      <c r="S76" s="26">
        <v>0</v>
      </c>
      <c r="T76" s="27">
        <v>20157.586908745729</v>
      </c>
      <c r="U76" s="27">
        <v>0</v>
      </c>
      <c r="V76" s="27">
        <v>21712.982946002801</v>
      </c>
      <c r="W76" s="27">
        <v>0</v>
      </c>
      <c r="X76" s="27">
        <v>7347.7356289843192</v>
      </c>
      <c r="Y76" s="27">
        <v>0</v>
      </c>
      <c r="Z76" s="39">
        <v>0</v>
      </c>
      <c r="AA76" s="2"/>
      <c r="AB76" s="48">
        <f t="shared" si="14"/>
        <v>701304.80550198362</v>
      </c>
      <c r="AC76" s="48">
        <f t="shared" si="13"/>
        <v>701304.80550122075</v>
      </c>
      <c r="AD76" s="52">
        <f t="shared" si="15"/>
        <v>-7.6286960393190384E-7</v>
      </c>
    </row>
    <row r="77" spans="1:30" x14ac:dyDescent="0.25">
      <c r="A77" s="14"/>
      <c r="B77" s="7" t="s">
        <v>2</v>
      </c>
      <c r="C77" s="31">
        <v>7449828.5891938359</v>
      </c>
      <c r="D77" s="32">
        <v>0</v>
      </c>
      <c r="E77" s="32">
        <v>14763270.907528723</v>
      </c>
      <c r="F77" s="32">
        <v>0</v>
      </c>
      <c r="G77" s="33">
        <v>3845397.4757386507</v>
      </c>
      <c r="H77" s="33">
        <v>0</v>
      </c>
      <c r="I77" s="33">
        <v>3100061.9108387535</v>
      </c>
      <c r="J77" s="34">
        <v>0</v>
      </c>
      <c r="K77" s="31">
        <v>0</v>
      </c>
      <c r="L77" s="32">
        <v>0</v>
      </c>
      <c r="M77" s="32">
        <v>0</v>
      </c>
      <c r="N77" s="32">
        <v>0</v>
      </c>
      <c r="O77" s="33">
        <v>0</v>
      </c>
      <c r="P77" s="33">
        <v>0</v>
      </c>
      <c r="Q77" s="33">
        <v>0</v>
      </c>
      <c r="R77" s="34">
        <v>0</v>
      </c>
      <c r="S77" s="31">
        <v>0</v>
      </c>
      <c r="T77" s="32">
        <v>0</v>
      </c>
      <c r="U77" s="32">
        <v>0</v>
      </c>
      <c r="V77" s="32">
        <v>0</v>
      </c>
      <c r="W77" s="32">
        <v>0</v>
      </c>
      <c r="X77" s="32">
        <v>0</v>
      </c>
      <c r="Y77" s="32">
        <v>0</v>
      </c>
      <c r="Z77" s="41">
        <v>0</v>
      </c>
      <c r="AA77" s="2"/>
      <c r="AB77" s="48">
        <f t="shared" si="14"/>
        <v>29158558.883299962</v>
      </c>
      <c r="AC77" s="48">
        <f t="shared" si="13"/>
        <v>29158558.883299947</v>
      </c>
      <c r="AD77" s="52">
        <f t="shared" si="15"/>
        <v>0</v>
      </c>
    </row>
    <row r="78" spans="1:30" x14ac:dyDescent="0.25">
      <c r="A78" s="57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2"/>
      <c r="AB78" s="60">
        <f>SUM(AB69:AB77)</f>
        <v>84486257.17307663</v>
      </c>
      <c r="AC78" s="60">
        <f>SUM(AC69:AC77)</f>
        <v>84486257.173076615</v>
      </c>
      <c r="AD78" s="13"/>
    </row>
    <row r="79" spans="1:30" x14ac:dyDescent="0.25">
      <c r="A79" s="57"/>
      <c r="B79" s="80" t="s">
        <v>74</v>
      </c>
      <c r="C79" s="79">
        <f>SUM(C69:C77)</f>
        <v>13014632.855625601</v>
      </c>
      <c r="D79" s="79">
        <f t="shared" ref="D79:Z79" si="16">SUM(D69:D77)</f>
        <v>485111.89573049406</v>
      </c>
      <c r="E79" s="79">
        <f t="shared" si="16"/>
        <v>27038337.726385273</v>
      </c>
      <c r="F79" s="79">
        <f t="shared" si="16"/>
        <v>788744.51477987436</v>
      </c>
      <c r="G79" s="79">
        <f t="shared" si="16"/>
        <v>7486304.4598012045</v>
      </c>
      <c r="H79" s="79">
        <f t="shared" si="16"/>
        <v>480144.25944400241</v>
      </c>
      <c r="I79" s="79">
        <f t="shared" si="16"/>
        <v>5299294.9322989602</v>
      </c>
      <c r="J79" s="79">
        <f t="shared" si="16"/>
        <v>735127.64571125561</v>
      </c>
      <c r="K79" s="79">
        <f t="shared" si="16"/>
        <v>5940881.4554538783</v>
      </c>
      <c r="L79" s="79">
        <f t="shared" si="16"/>
        <v>199422.46321511141</v>
      </c>
      <c r="M79" s="79">
        <f t="shared" si="16"/>
        <v>10745248.849959064</v>
      </c>
      <c r="N79" s="79">
        <f t="shared" si="16"/>
        <v>246894.46879293118</v>
      </c>
      <c r="O79" s="79">
        <f t="shared" si="16"/>
        <v>2589292.9481973569</v>
      </c>
      <c r="P79" s="79">
        <f t="shared" si="16"/>
        <v>104627.38196965218</v>
      </c>
      <c r="Q79" s="79">
        <f t="shared" si="16"/>
        <v>2473776.1357094226</v>
      </c>
      <c r="R79" s="79">
        <f t="shared" si="16"/>
        <v>161933.61128657631</v>
      </c>
      <c r="S79" s="79">
        <f t="shared" si="16"/>
        <v>1228833.7176343231</v>
      </c>
      <c r="T79" s="79">
        <f t="shared" si="16"/>
        <v>151718.46603466591</v>
      </c>
      <c r="U79" s="79">
        <f t="shared" si="16"/>
        <v>3309469.1824563313</v>
      </c>
      <c r="V79" s="79">
        <f t="shared" si="16"/>
        <v>90540.57348966843</v>
      </c>
      <c r="W79" s="79">
        <f t="shared" si="16"/>
        <v>997472.47894359764</v>
      </c>
      <c r="X79" s="79">
        <f t="shared" si="16"/>
        <v>96462.612782405151</v>
      </c>
      <c r="Y79" s="79">
        <f t="shared" si="16"/>
        <v>660108.6153393659</v>
      </c>
      <c r="Z79" s="79">
        <f t="shared" si="16"/>
        <v>161875.92203563303</v>
      </c>
      <c r="AA79" s="80">
        <f>SUM(C79:Z79)</f>
        <v>84486257.173076645</v>
      </c>
      <c r="AB79" s="2"/>
      <c r="AC79" s="2"/>
      <c r="AD79" s="13"/>
    </row>
    <row r="80" spans="1:30" x14ac:dyDescent="0.25">
      <c r="A80" s="57"/>
      <c r="B80" s="80" t="s">
        <v>40</v>
      </c>
      <c r="C80" s="79">
        <f t="shared" ref="C80:Z80" si="17">C18</f>
        <v>13014632.855625601</v>
      </c>
      <c r="D80" s="79">
        <f t="shared" si="17"/>
        <v>485111.89573049406</v>
      </c>
      <c r="E80" s="79">
        <f t="shared" si="17"/>
        <v>27038337.726385273</v>
      </c>
      <c r="F80" s="79">
        <f t="shared" si="17"/>
        <v>788744.51477987436</v>
      </c>
      <c r="G80" s="79">
        <f t="shared" si="17"/>
        <v>7486304.4598012045</v>
      </c>
      <c r="H80" s="79">
        <f t="shared" si="17"/>
        <v>480144.25944400241</v>
      </c>
      <c r="I80" s="79">
        <f t="shared" si="17"/>
        <v>5299294.9322989592</v>
      </c>
      <c r="J80" s="79">
        <f t="shared" si="17"/>
        <v>735127.64571125561</v>
      </c>
      <c r="K80" s="79">
        <f t="shared" si="17"/>
        <v>5940881.4554538783</v>
      </c>
      <c r="L80" s="79">
        <f t="shared" si="17"/>
        <v>199422.46321511143</v>
      </c>
      <c r="M80" s="79">
        <f t="shared" si="17"/>
        <v>10745248.849959064</v>
      </c>
      <c r="N80" s="79">
        <f t="shared" si="17"/>
        <v>246894.46879293123</v>
      </c>
      <c r="O80" s="79">
        <f t="shared" si="17"/>
        <v>2589292.9481973569</v>
      </c>
      <c r="P80" s="79">
        <f t="shared" si="17"/>
        <v>104627.38196965218</v>
      </c>
      <c r="Q80" s="79">
        <f t="shared" si="17"/>
        <v>2473776.1357094226</v>
      </c>
      <c r="R80" s="79">
        <f t="shared" si="17"/>
        <v>161933.61128657634</v>
      </c>
      <c r="S80" s="79">
        <f t="shared" si="17"/>
        <v>1228833.7176343231</v>
      </c>
      <c r="T80" s="79">
        <f t="shared" si="17"/>
        <v>151718.46603466591</v>
      </c>
      <c r="U80" s="79">
        <f t="shared" si="17"/>
        <v>3309469.1824563313</v>
      </c>
      <c r="V80" s="79">
        <f t="shared" si="17"/>
        <v>90540.57348966843</v>
      </c>
      <c r="W80" s="79">
        <f t="shared" si="17"/>
        <v>997472.47894359764</v>
      </c>
      <c r="X80" s="79">
        <f t="shared" si="17"/>
        <v>96462.612782405151</v>
      </c>
      <c r="Y80" s="79">
        <f t="shared" si="17"/>
        <v>660108.6153393659</v>
      </c>
      <c r="Z80" s="79">
        <f t="shared" si="17"/>
        <v>161875.92203563303</v>
      </c>
      <c r="AA80" s="80">
        <f>SUM(C80:Z80)</f>
        <v>84486257.173076645</v>
      </c>
      <c r="AB80" s="2"/>
      <c r="AC80" s="2"/>
      <c r="AD80" s="13"/>
    </row>
    <row r="81" spans="1:30" x14ac:dyDescent="0.25">
      <c r="A81" s="14"/>
      <c r="B81" s="7" t="s">
        <v>76</v>
      </c>
      <c r="C81" s="79">
        <f>C80-C80</f>
        <v>0</v>
      </c>
      <c r="D81" s="79">
        <f t="shared" ref="D81:Z81" si="18">D80-D80</f>
        <v>0</v>
      </c>
      <c r="E81" s="79">
        <f t="shared" si="18"/>
        <v>0</v>
      </c>
      <c r="F81" s="79">
        <f t="shared" si="18"/>
        <v>0</v>
      </c>
      <c r="G81" s="79">
        <f t="shared" si="18"/>
        <v>0</v>
      </c>
      <c r="H81" s="79">
        <f t="shared" si="18"/>
        <v>0</v>
      </c>
      <c r="I81" s="79">
        <f t="shared" si="18"/>
        <v>0</v>
      </c>
      <c r="J81" s="79">
        <f t="shared" si="18"/>
        <v>0</v>
      </c>
      <c r="K81" s="79">
        <f t="shared" si="18"/>
        <v>0</v>
      </c>
      <c r="L81" s="79">
        <f t="shared" si="18"/>
        <v>0</v>
      </c>
      <c r="M81" s="79">
        <f t="shared" si="18"/>
        <v>0</v>
      </c>
      <c r="N81" s="79">
        <f t="shared" si="18"/>
        <v>0</v>
      </c>
      <c r="O81" s="79">
        <f t="shared" si="18"/>
        <v>0</v>
      </c>
      <c r="P81" s="79">
        <f t="shared" si="18"/>
        <v>0</v>
      </c>
      <c r="Q81" s="79">
        <f t="shared" si="18"/>
        <v>0</v>
      </c>
      <c r="R81" s="79">
        <f t="shared" si="18"/>
        <v>0</v>
      </c>
      <c r="S81" s="79">
        <f t="shared" si="18"/>
        <v>0</v>
      </c>
      <c r="T81" s="79">
        <f t="shared" si="18"/>
        <v>0</v>
      </c>
      <c r="U81" s="79">
        <f t="shared" si="18"/>
        <v>0</v>
      </c>
      <c r="V81" s="79">
        <f t="shared" si="18"/>
        <v>0</v>
      </c>
      <c r="W81" s="79">
        <f t="shared" si="18"/>
        <v>0</v>
      </c>
      <c r="X81" s="79">
        <f t="shared" si="18"/>
        <v>0</v>
      </c>
      <c r="Y81" s="79">
        <f t="shared" si="18"/>
        <v>0</v>
      </c>
      <c r="Z81" s="79">
        <f t="shared" si="18"/>
        <v>0</v>
      </c>
      <c r="AA81" s="2"/>
      <c r="AB81" s="2"/>
      <c r="AC81" s="2"/>
      <c r="AD81" s="13"/>
    </row>
    <row r="82" spans="1:30" x14ac:dyDescent="0.25">
      <c r="A82" s="1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1"/>
    </row>
    <row r="84" spans="1:30" x14ac:dyDescent="0.25">
      <c r="A84" s="59" t="s">
        <v>85</v>
      </c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5"/>
    </row>
    <row r="85" spans="1:30" x14ac:dyDescent="0.25">
      <c r="A85" s="14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13"/>
    </row>
    <row r="86" spans="1:30" x14ac:dyDescent="0.25">
      <c r="A86" s="14"/>
      <c r="B86" s="2"/>
      <c r="C86" s="152" t="s">
        <v>11</v>
      </c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2"/>
      <c r="P86" s="7" t="s">
        <v>13</v>
      </c>
      <c r="Q86" s="2"/>
      <c r="R86" s="13"/>
    </row>
    <row r="87" spans="1:30" x14ac:dyDescent="0.25">
      <c r="A87" s="14"/>
      <c r="B87" s="2"/>
      <c r="C87" s="151" t="s">
        <v>1</v>
      </c>
      <c r="D87" s="152"/>
      <c r="E87" s="152"/>
      <c r="F87" s="153"/>
      <c r="G87" s="152" t="s">
        <v>5</v>
      </c>
      <c r="H87" s="152"/>
      <c r="I87" s="152"/>
      <c r="J87" s="153"/>
      <c r="K87" s="154" t="s">
        <v>3</v>
      </c>
      <c r="L87" s="152"/>
      <c r="M87" s="152"/>
      <c r="N87" s="155"/>
      <c r="O87" s="2"/>
      <c r="P87" s="2"/>
      <c r="Q87" s="2"/>
      <c r="R87" s="13"/>
    </row>
    <row r="88" spans="1:30" ht="15.75" thickBot="1" x14ac:dyDescent="0.3">
      <c r="A88" s="14"/>
      <c r="B88" s="2"/>
      <c r="C88" s="15" t="s">
        <v>7</v>
      </c>
      <c r="D88" s="16" t="s">
        <v>8</v>
      </c>
      <c r="E88" s="16" t="s">
        <v>9</v>
      </c>
      <c r="F88" s="17" t="s">
        <v>0</v>
      </c>
      <c r="G88" s="16" t="s">
        <v>7</v>
      </c>
      <c r="H88" s="16" t="s">
        <v>8</v>
      </c>
      <c r="I88" s="16" t="s">
        <v>9</v>
      </c>
      <c r="J88" s="17" t="s">
        <v>0</v>
      </c>
      <c r="K88" s="16" t="s">
        <v>7</v>
      </c>
      <c r="L88" s="16" t="s">
        <v>8</v>
      </c>
      <c r="M88" s="16" t="s">
        <v>9</v>
      </c>
      <c r="N88" s="18" t="s">
        <v>0</v>
      </c>
      <c r="O88" s="2"/>
      <c r="P88" s="2"/>
      <c r="Q88" s="2"/>
      <c r="R88" s="13"/>
    </row>
    <row r="89" spans="1:30" ht="15.75" thickTop="1" x14ac:dyDescent="0.25">
      <c r="A89" s="150" t="s">
        <v>10</v>
      </c>
      <c r="B89" s="7" t="s">
        <v>7</v>
      </c>
      <c r="C89" s="46">
        <f>SUM(C69:D70)</f>
        <v>5564804.2664317656</v>
      </c>
      <c r="D89" s="48">
        <f>SUM(E69:F70)</f>
        <v>246665.08590243309</v>
      </c>
      <c r="E89" s="48">
        <f>SUM(G69:H70)</f>
        <v>101354.3090165913</v>
      </c>
      <c r="F89" s="50">
        <f>SUM(I69:J70)</f>
        <v>204748.85220590205</v>
      </c>
      <c r="G89" s="48">
        <f>SUM(K69:L70)</f>
        <v>5940881.4554538783</v>
      </c>
      <c r="H89" s="48">
        <f>SUM(M69:N70)</f>
        <v>69219.786289492826</v>
      </c>
      <c r="I89" s="48">
        <f>SUM(O69:P70)</f>
        <v>20334.544472252659</v>
      </c>
      <c r="J89" s="50">
        <f>SUM(Q69:R70)</f>
        <v>35661.389069443707</v>
      </c>
      <c r="K89" s="48">
        <f>SUM(S69:T70)</f>
        <v>1228833.7176343231</v>
      </c>
      <c r="L89" s="48">
        <f>SUM(U69:V70)</f>
        <v>43926.571466463574</v>
      </c>
      <c r="M89" s="48">
        <f>SUM(W69:X70)</f>
        <v>19831.767476516325</v>
      </c>
      <c r="N89" s="52">
        <f>SUM(Y69:Z70)</f>
        <v>23483.005937503229</v>
      </c>
      <c r="O89" s="2"/>
      <c r="P89" s="2">
        <f>SUM(C89:N89)</f>
        <v>13499744.751356563</v>
      </c>
      <c r="Q89" s="2"/>
      <c r="R89" s="13"/>
    </row>
    <row r="90" spans="1:30" x14ac:dyDescent="0.25">
      <c r="A90" s="150"/>
      <c r="B90" s="7" t="s">
        <v>8</v>
      </c>
      <c r="C90" s="46">
        <f>SUM(C71:D72)</f>
        <v>276747.28486813803</v>
      </c>
      <c r="D90" s="48">
        <f>SUM(E71:F72)</f>
        <v>12275066.818856552</v>
      </c>
      <c r="E90" s="48">
        <f>SUM(G71:H72)</f>
        <v>261633.54379824849</v>
      </c>
      <c r="F90" s="50">
        <f>SUM(I71:J72)</f>
        <v>417904.20655172592</v>
      </c>
      <c r="G90" s="48">
        <f>SUM(K71:L72)</f>
        <v>90417.182504532844</v>
      </c>
      <c r="H90" s="48">
        <f>SUM(M71:N72)</f>
        <v>10745248.849959064</v>
      </c>
      <c r="I90" s="48">
        <f>SUM(O71:P72)</f>
        <v>62087.725633124574</v>
      </c>
      <c r="J90" s="50">
        <f>SUM(Q71:R72)</f>
        <v>101118.30077683898</v>
      </c>
      <c r="K90" s="48">
        <f>SUM(S71:T72)</f>
        <v>102896.53145086674</v>
      </c>
      <c r="L90" s="48">
        <f>SUM(U71:V72)</f>
        <v>3309469.1824563313</v>
      </c>
      <c r="M90" s="48">
        <f>SUM(W71:X72)</f>
        <v>69283.109676904511</v>
      </c>
      <c r="N90" s="52">
        <f>SUM(Y71:Z72)</f>
        <v>115209.50463093512</v>
      </c>
      <c r="O90" s="2"/>
      <c r="P90" s="2">
        <f t="shared" ref="P90:P93" si="19">SUM(C90:N90)</f>
        <v>27827082.241163265</v>
      </c>
      <c r="Q90" s="2"/>
      <c r="R90" s="13"/>
    </row>
    <row r="91" spans="1:30" x14ac:dyDescent="0.25">
      <c r="A91" s="150"/>
      <c r="B91" s="7" t="s">
        <v>9</v>
      </c>
      <c r="C91" s="46">
        <f>SUM(C73:D74)</f>
        <v>100571.07725288712</v>
      </c>
      <c r="D91" s="48">
        <f>SUM(E73:F74)</f>
        <v>256023.6692553797</v>
      </c>
      <c r="E91" s="48">
        <f>SUM(G73:H74)</f>
        <v>3640906.9840625534</v>
      </c>
      <c r="F91" s="50">
        <f>SUM(I73:J74)</f>
        <v>112474.58695362767</v>
      </c>
      <c r="G91" s="48">
        <f>SUM(K73:L74)</f>
        <v>65301.376521476544</v>
      </c>
      <c r="H91" s="48">
        <f>SUM(M74:N75)</f>
        <v>102502.89839925765</v>
      </c>
      <c r="I91" s="48">
        <f>SUM(O73:P74)</f>
        <v>2589292.9481973569</v>
      </c>
      <c r="J91" s="50">
        <f>SUM(Q73:R74)</f>
        <v>25153.921440293649</v>
      </c>
      <c r="K91" s="48">
        <f>SUM(S73:T74)</f>
        <v>28664.347675053439</v>
      </c>
      <c r="L91" s="48">
        <f>SUM(U73:V74)</f>
        <v>24901.019077202054</v>
      </c>
      <c r="M91" s="48">
        <f>SUM(W73:X74)</f>
        <v>997472.47894359764</v>
      </c>
      <c r="N91" s="52">
        <f>SUM(Y73:Z74)</f>
        <v>23183.411467194714</v>
      </c>
      <c r="O91" s="2"/>
      <c r="P91" s="2">
        <f t="shared" si="19"/>
        <v>7966448.7192458808</v>
      </c>
      <c r="Q91" s="2"/>
      <c r="R91" s="13"/>
    </row>
    <row r="92" spans="1:30" x14ac:dyDescent="0.25">
      <c r="A92" s="150"/>
      <c r="B92" s="7" t="s">
        <v>0</v>
      </c>
      <c r="C92" s="46">
        <f>SUM(C75:D76)</f>
        <v>107793.53360946888</v>
      </c>
      <c r="D92" s="48">
        <f>SUM(E75:F76)</f>
        <v>286055.75962206157</v>
      </c>
      <c r="E92" s="48">
        <f>SUM(G75:H76)</f>
        <v>117156.40662916261</v>
      </c>
      <c r="F92" s="50">
        <f>SUM(I75:J76)</f>
        <v>2199233.0214602062</v>
      </c>
      <c r="G92" s="48">
        <f>SUM(K75:L76)</f>
        <v>43703.904189102017</v>
      </c>
      <c r="H92" s="48">
        <f>SUM(M75:N76)</f>
        <v>75171.784104180711</v>
      </c>
      <c r="I92" s="48">
        <f>SUM(O75:P76)</f>
        <v>22205.11186427495</v>
      </c>
      <c r="J92" s="50">
        <f>SUM(Q75:R76)</f>
        <v>2473776.1357094226</v>
      </c>
      <c r="K92" s="48">
        <f>SUM(S75:T76)</f>
        <v>20157.586908745729</v>
      </c>
      <c r="L92" s="48">
        <f>SUM(U75:V76)</f>
        <v>21712.982946002801</v>
      </c>
      <c r="M92" s="48">
        <f>SUM(W75:X76)</f>
        <v>7347.7356289843192</v>
      </c>
      <c r="N92" s="52">
        <f>SUM(Y75:Z76)</f>
        <v>660108.6153393659</v>
      </c>
      <c r="O92" s="2"/>
      <c r="P92" s="2">
        <f t="shared" si="19"/>
        <v>6034422.5780109772</v>
      </c>
      <c r="Q92" s="2"/>
      <c r="R92" s="13"/>
    </row>
    <row r="93" spans="1:30" x14ac:dyDescent="0.25">
      <c r="A93" s="57"/>
      <c r="B93" s="7" t="s">
        <v>2</v>
      </c>
      <c r="C93" s="47">
        <f>SUM(C77:D77)</f>
        <v>7449828.5891938359</v>
      </c>
      <c r="D93" s="49">
        <f>SUM(E77:F77)</f>
        <v>14763270.907528723</v>
      </c>
      <c r="E93" s="49">
        <f>SUM(G77:H77)</f>
        <v>3845397.4757386507</v>
      </c>
      <c r="F93" s="51">
        <f>SUM(I77:J77)</f>
        <v>3100061.9108387535</v>
      </c>
      <c r="G93" s="49">
        <f>SUM(K77:L77)</f>
        <v>0</v>
      </c>
      <c r="H93" s="49">
        <f>SUM(M77:N77)</f>
        <v>0</v>
      </c>
      <c r="I93" s="49">
        <f>SUM(O77:P77)</f>
        <v>0</v>
      </c>
      <c r="J93" s="51">
        <f>SUM(Q77:R77)</f>
        <v>0</v>
      </c>
      <c r="K93" s="49">
        <f>SUM(S77:T77)</f>
        <v>0</v>
      </c>
      <c r="L93" s="49">
        <f>SUM(U77:V77)</f>
        <v>0</v>
      </c>
      <c r="M93" s="49">
        <f>SUM(W77:X77)</f>
        <v>0</v>
      </c>
      <c r="N93" s="53">
        <f>SUM(Y77:Z77)</f>
        <v>0</v>
      </c>
      <c r="O93" s="2"/>
      <c r="P93" s="2">
        <f t="shared" si="19"/>
        <v>29158558.883299962</v>
      </c>
      <c r="Q93" s="2"/>
      <c r="R93" s="13"/>
    </row>
    <row r="94" spans="1:30" x14ac:dyDescent="0.25">
      <c r="A94" s="14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7">
        <f>SUM(P89:P93)</f>
        <v>84486257.173076645</v>
      </c>
      <c r="Q94" s="2"/>
      <c r="R94" s="13"/>
    </row>
    <row r="95" spans="1:30" x14ac:dyDescent="0.25">
      <c r="A95" s="14"/>
      <c r="B95" s="9" t="s">
        <v>12</v>
      </c>
      <c r="C95" s="2">
        <f>SUM(C89:C93)</f>
        <v>13499744.751356095</v>
      </c>
      <c r="D95" s="2">
        <f t="shared" ref="D95:N95" si="20">SUM(D89:D93)</f>
        <v>27827082.24116515</v>
      </c>
      <c r="E95" s="2">
        <f t="shared" si="20"/>
        <v>7966448.7192452066</v>
      </c>
      <c r="F95" s="2">
        <f t="shared" si="20"/>
        <v>6034422.5780102154</v>
      </c>
      <c r="G95" s="2">
        <f t="shared" si="20"/>
        <v>6140303.91866899</v>
      </c>
      <c r="H95" s="2">
        <f t="shared" si="20"/>
        <v>10992143.318751996</v>
      </c>
      <c r="I95" s="2">
        <f t="shared" si="20"/>
        <v>2693920.330167009</v>
      </c>
      <c r="J95" s="2">
        <f t="shared" si="20"/>
        <v>2635709.746995999</v>
      </c>
      <c r="K95" s="2">
        <f t="shared" si="20"/>
        <v>1380552.183668989</v>
      </c>
      <c r="L95" s="2">
        <f t="shared" si="20"/>
        <v>3400009.7559459996</v>
      </c>
      <c r="M95" s="2">
        <f t="shared" si="20"/>
        <v>1093935.091726003</v>
      </c>
      <c r="N95" s="2">
        <f t="shared" si="20"/>
        <v>821984.53737499891</v>
      </c>
      <c r="O95" s="7">
        <f>SUM(C95:N95)</f>
        <v>84486257.173076659</v>
      </c>
      <c r="P95" s="2"/>
      <c r="Q95" s="2"/>
      <c r="R95" s="13"/>
    </row>
    <row r="96" spans="1:30" x14ac:dyDescent="0.25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1"/>
    </row>
  </sheetData>
  <mergeCells count="14">
    <mergeCell ref="C4:Z4"/>
    <mergeCell ref="C5:J5"/>
    <mergeCell ref="K5:R5"/>
    <mergeCell ref="S5:Z5"/>
    <mergeCell ref="A7:A14"/>
    <mergeCell ref="A89:A92"/>
    <mergeCell ref="C67:J67"/>
    <mergeCell ref="K67:R67"/>
    <mergeCell ref="S67:Z67"/>
    <mergeCell ref="A69:A76"/>
    <mergeCell ref="C86:N86"/>
    <mergeCell ref="C87:F87"/>
    <mergeCell ref="G87:J87"/>
    <mergeCell ref="K87:N8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87"/>
  <sheetViews>
    <sheetView zoomScaleNormal="100" workbookViewId="0">
      <pane xSplit="2" topLeftCell="C1" activePane="topRight" state="frozen"/>
      <selection pane="topRight" activeCell="C7" sqref="C7"/>
    </sheetView>
  </sheetViews>
  <sheetFormatPr defaultRowHeight="15" x14ac:dyDescent="0.25"/>
  <cols>
    <col min="1" max="1" width="19" bestFit="1" customWidth="1"/>
    <col min="2" max="2" width="67.42578125" customWidth="1"/>
    <col min="3" max="16" width="13.85546875" customWidth="1"/>
    <col min="17" max="17" width="14.85546875" bestFit="1" customWidth="1"/>
    <col min="18" max="26" width="13.85546875" customWidth="1"/>
    <col min="27" max="29" width="15.28515625" bestFit="1" customWidth="1"/>
    <col min="30" max="30" width="11.5703125" bestFit="1" customWidth="1"/>
    <col min="31" max="31" width="12.7109375" bestFit="1" customWidth="1"/>
    <col min="32" max="32" width="12" bestFit="1" customWidth="1"/>
  </cols>
  <sheetData>
    <row r="1" spans="1:31" ht="18.75" x14ac:dyDescent="0.3">
      <c r="A1" s="6" t="s">
        <v>145</v>
      </c>
    </row>
    <row r="3" spans="1:31" x14ac:dyDescent="0.25">
      <c r="A3" s="59" t="s">
        <v>146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5"/>
    </row>
    <row r="4" spans="1:31" x14ac:dyDescent="0.25">
      <c r="A4" s="14"/>
      <c r="B4" s="2"/>
      <c r="C4" s="152" t="s">
        <v>27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2"/>
      <c r="AB4" s="7" t="s">
        <v>29</v>
      </c>
      <c r="AC4" s="7" t="s">
        <v>39</v>
      </c>
      <c r="AD4" s="2"/>
      <c r="AE4" s="13"/>
    </row>
    <row r="5" spans="1:31" ht="15" customHeight="1" x14ac:dyDescent="0.25">
      <c r="A5" s="14"/>
      <c r="B5" s="2"/>
      <c r="C5" s="157" t="s">
        <v>26</v>
      </c>
      <c r="D5" s="158"/>
      <c r="E5" s="158"/>
      <c r="F5" s="158"/>
      <c r="G5" s="158"/>
      <c r="H5" s="158"/>
      <c r="I5" s="158"/>
      <c r="J5" s="159"/>
      <c r="K5" s="157" t="s">
        <v>5</v>
      </c>
      <c r="L5" s="158"/>
      <c r="M5" s="158"/>
      <c r="N5" s="158"/>
      <c r="O5" s="158"/>
      <c r="P5" s="158"/>
      <c r="Q5" s="158"/>
      <c r="R5" s="159"/>
      <c r="S5" s="157" t="s">
        <v>3</v>
      </c>
      <c r="T5" s="158"/>
      <c r="U5" s="158"/>
      <c r="V5" s="158"/>
      <c r="W5" s="158"/>
      <c r="X5" s="158"/>
      <c r="Y5" s="158"/>
      <c r="Z5" s="160"/>
      <c r="AA5" s="2"/>
      <c r="AB5" s="2"/>
      <c r="AC5" s="2"/>
      <c r="AD5" s="2"/>
      <c r="AE5" s="13"/>
    </row>
    <row r="6" spans="1:31" ht="15.75" thickBot="1" x14ac:dyDescent="0.3">
      <c r="A6" s="14"/>
      <c r="B6" s="2"/>
      <c r="C6" s="23" t="s">
        <v>14</v>
      </c>
      <c r="D6" s="24" t="s">
        <v>22</v>
      </c>
      <c r="E6" s="24" t="s">
        <v>15</v>
      </c>
      <c r="F6" s="24" t="s">
        <v>23</v>
      </c>
      <c r="G6" s="24" t="s">
        <v>16</v>
      </c>
      <c r="H6" s="24" t="s">
        <v>24</v>
      </c>
      <c r="I6" s="24" t="s">
        <v>17</v>
      </c>
      <c r="J6" s="25" t="s">
        <v>25</v>
      </c>
      <c r="K6" s="23" t="s">
        <v>14</v>
      </c>
      <c r="L6" s="24" t="s">
        <v>22</v>
      </c>
      <c r="M6" s="24" t="s">
        <v>15</v>
      </c>
      <c r="N6" s="24" t="s">
        <v>23</v>
      </c>
      <c r="O6" s="24" t="s">
        <v>16</v>
      </c>
      <c r="P6" s="24" t="s">
        <v>24</v>
      </c>
      <c r="Q6" s="24" t="s">
        <v>17</v>
      </c>
      <c r="R6" s="25" t="s">
        <v>25</v>
      </c>
      <c r="S6" s="23" t="s">
        <v>14</v>
      </c>
      <c r="T6" s="24" t="s">
        <v>22</v>
      </c>
      <c r="U6" s="24" t="s">
        <v>15</v>
      </c>
      <c r="V6" s="24" t="s">
        <v>23</v>
      </c>
      <c r="W6" s="24" t="s">
        <v>16</v>
      </c>
      <c r="X6" s="24" t="s">
        <v>24</v>
      </c>
      <c r="Y6" s="24" t="s">
        <v>17</v>
      </c>
      <c r="Z6" s="38" t="s">
        <v>25</v>
      </c>
      <c r="AA6" s="2"/>
      <c r="AB6" s="2"/>
      <c r="AC6" s="2"/>
      <c r="AD6" s="2"/>
      <c r="AE6" s="13"/>
    </row>
    <row r="7" spans="1:31" ht="15.75" thickTop="1" x14ac:dyDescent="0.25">
      <c r="A7" s="161" t="s">
        <v>43</v>
      </c>
      <c r="B7" s="22" t="s">
        <v>14</v>
      </c>
      <c r="C7" s="83">
        <f>'BenchmarkIOMatrix-1995'!C22</f>
        <v>5564804.2664373862</v>
      </c>
      <c r="D7" s="84">
        <v>0</v>
      </c>
      <c r="E7" s="84">
        <v>0</v>
      </c>
      <c r="F7" s="84">
        <v>0</v>
      </c>
      <c r="G7" s="85">
        <v>0</v>
      </c>
      <c r="H7" s="85">
        <v>0</v>
      </c>
      <c r="I7" s="85">
        <v>0</v>
      </c>
      <c r="J7" s="86">
        <v>0</v>
      </c>
      <c r="K7" s="83">
        <f>'BenchmarkIOMatrix-1995'!G22</f>
        <v>5926949.1729290169</v>
      </c>
      <c r="L7" s="84">
        <v>0</v>
      </c>
      <c r="M7" s="84">
        <v>0</v>
      </c>
      <c r="N7" s="84">
        <v>0</v>
      </c>
      <c r="O7" s="85">
        <v>0</v>
      </c>
      <c r="P7" s="85">
        <v>0</v>
      </c>
      <c r="Q7" s="85">
        <v>0</v>
      </c>
      <c r="R7" s="86">
        <v>0</v>
      </c>
      <c r="S7" s="83">
        <f>'BenchmarkIOMatrix-1995'!K22</f>
        <v>1218234.1868745731</v>
      </c>
      <c r="T7" s="84">
        <v>0</v>
      </c>
      <c r="U7" s="84">
        <v>0</v>
      </c>
      <c r="V7" s="84">
        <v>0</v>
      </c>
      <c r="W7" s="85">
        <v>0</v>
      </c>
      <c r="X7" s="85">
        <v>0</v>
      </c>
      <c r="Y7" s="85">
        <v>0</v>
      </c>
      <c r="Z7" s="87">
        <v>0</v>
      </c>
      <c r="AA7" s="62"/>
      <c r="AB7" s="62">
        <f>SUM(C7:Z7)</f>
        <v>12709987.626240976</v>
      </c>
      <c r="AC7" s="62">
        <f>'BenchmarkIOMatrix-2011'!C35-'Alt4-NX'!AC8</f>
        <v>26234800.782966252</v>
      </c>
      <c r="AD7" s="2"/>
      <c r="AE7" s="13"/>
    </row>
    <row r="8" spans="1:31" x14ac:dyDescent="0.25">
      <c r="A8" s="161"/>
      <c r="B8" s="22" t="s">
        <v>18</v>
      </c>
      <c r="C8" s="83">
        <v>0</v>
      </c>
      <c r="D8" s="84">
        <v>0</v>
      </c>
      <c r="E8" s="84">
        <v>0</v>
      </c>
      <c r="F8" s="84">
        <f>'BenchmarkIOMatrix-1995'!D22</f>
        <v>228785.35852844641</v>
      </c>
      <c r="G8" s="84">
        <v>0</v>
      </c>
      <c r="H8" s="84">
        <f>'BenchmarkIOMatrix-1995'!E22</f>
        <v>94560.991268332247</v>
      </c>
      <c r="I8" s="84">
        <v>0</v>
      </c>
      <c r="J8" s="86">
        <f>'BenchmarkIOMatrix-1995'!F22</f>
        <v>197436.19747258461</v>
      </c>
      <c r="K8" s="83">
        <v>0</v>
      </c>
      <c r="L8" s="84">
        <v>0</v>
      </c>
      <c r="M8" s="84">
        <v>0</v>
      </c>
      <c r="N8" s="84">
        <f>'BenchmarkIOMatrix-1995'!H22</f>
        <v>80793.271593902246</v>
      </c>
      <c r="O8" s="84">
        <v>0</v>
      </c>
      <c r="P8" s="84">
        <f>'BenchmarkIOMatrix-1995'!I22</f>
        <v>23796.918202255772</v>
      </c>
      <c r="Q8" s="84">
        <v>0</v>
      </c>
      <c r="R8" s="86">
        <f>'BenchmarkIOMatrix-1995'!J22</f>
        <v>39382.304926033845</v>
      </c>
      <c r="S8" s="83">
        <v>0</v>
      </c>
      <c r="T8" s="84">
        <v>0</v>
      </c>
      <c r="U8" s="84">
        <v>0</v>
      </c>
      <c r="V8" s="84">
        <f>'BenchmarkIOMatrix-1995'!L22</f>
        <v>51246.054381103066</v>
      </c>
      <c r="W8" s="84">
        <v>0</v>
      </c>
      <c r="X8" s="84">
        <f>'BenchmarkIOMatrix-1995'!M22</f>
        <v>23271.258425006239</v>
      </c>
      <c r="Y8" s="84">
        <v>0</v>
      </c>
      <c r="Z8" s="87">
        <f>'BenchmarkIOMatrix-1995'!N22</f>
        <v>25952.957038492499</v>
      </c>
      <c r="AA8" s="62">
        <f>SUM(AB7:AB8)</f>
        <v>13475212.938077133</v>
      </c>
      <c r="AB8" s="62">
        <f t="shared" ref="AB8:AB15" si="0">SUM(C8:Z8)</f>
        <v>765225.31183615688</v>
      </c>
      <c r="AC8" s="62">
        <f>C34</f>
        <v>683319.67480464571</v>
      </c>
      <c r="AD8" s="48"/>
      <c r="AE8" s="77"/>
    </row>
    <row r="9" spans="1:31" x14ac:dyDescent="0.25">
      <c r="A9" s="161"/>
      <c r="B9" s="22" t="s">
        <v>15</v>
      </c>
      <c r="C9" s="83">
        <v>0</v>
      </c>
      <c r="D9" s="84">
        <v>0</v>
      </c>
      <c r="E9" s="84">
        <f>'BenchmarkIOMatrix-1995'!D23</f>
        <v>12275066.818850553</v>
      </c>
      <c r="F9" s="84">
        <v>0</v>
      </c>
      <c r="G9" s="88">
        <v>0</v>
      </c>
      <c r="H9" s="88">
        <v>0</v>
      </c>
      <c r="I9" s="88">
        <v>0</v>
      </c>
      <c r="J9" s="89">
        <v>0</v>
      </c>
      <c r="K9" s="83">
        <v>0</v>
      </c>
      <c r="L9" s="84">
        <v>0</v>
      </c>
      <c r="M9" s="84">
        <f>'BenchmarkIOMatrix-1995'!H23</f>
        <v>10704035.358149167</v>
      </c>
      <c r="N9" s="84">
        <v>0</v>
      </c>
      <c r="O9" s="88">
        <v>0</v>
      </c>
      <c r="P9" s="88">
        <v>0</v>
      </c>
      <c r="Q9" s="88">
        <v>0</v>
      </c>
      <c r="R9" s="89">
        <v>0</v>
      </c>
      <c r="S9" s="83">
        <v>0</v>
      </c>
      <c r="T9" s="84">
        <v>0</v>
      </c>
      <c r="U9" s="84">
        <f>'BenchmarkIOMatrix-1995'!L23</f>
        <v>3294355.465238513</v>
      </c>
      <c r="V9" s="84">
        <v>0</v>
      </c>
      <c r="W9" s="88">
        <v>0</v>
      </c>
      <c r="X9" s="88">
        <v>0</v>
      </c>
      <c r="Y9" s="88">
        <v>0</v>
      </c>
      <c r="Z9" s="90">
        <v>0</v>
      </c>
      <c r="AA9" s="62"/>
      <c r="AB9" s="62">
        <f t="shared" si="0"/>
        <v>26273457.64223823</v>
      </c>
      <c r="AC9" s="62">
        <f>'BenchmarkIOMatrix-2011'!D35-'Alt4-NX'!AC10</f>
        <v>48126726.493672557</v>
      </c>
      <c r="AD9" s="2"/>
      <c r="AE9" s="77"/>
    </row>
    <row r="10" spans="1:31" x14ac:dyDescent="0.25">
      <c r="A10" s="161"/>
      <c r="B10" s="22" t="s">
        <v>19</v>
      </c>
      <c r="C10" s="83">
        <v>0</v>
      </c>
      <c r="D10" s="84">
        <f>'BenchmarkIOMatrix-1995'!C23</f>
        <v>261470.69247068494</v>
      </c>
      <c r="E10" s="84">
        <v>0</v>
      </c>
      <c r="F10" s="84">
        <v>0</v>
      </c>
      <c r="G10" s="84">
        <v>0</v>
      </c>
      <c r="H10" s="84">
        <f>'BenchmarkIOMatrix-1995'!E23</f>
        <v>241701.14516750092</v>
      </c>
      <c r="I10" s="84">
        <v>0</v>
      </c>
      <c r="J10" s="86">
        <f>'BenchmarkIOMatrix-1995'!F23</f>
        <v>399022.63325623551</v>
      </c>
      <c r="K10" s="83">
        <v>0</v>
      </c>
      <c r="L10" s="84">
        <f>'BenchmarkIOMatrix-1995'!G23</f>
        <v>96252.139286830163</v>
      </c>
      <c r="M10" s="84">
        <v>0</v>
      </c>
      <c r="N10" s="84">
        <v>0</v>
      </c>
      <c r="O10" s="84">
        <v>0</v>
      </c>
      <c r="P10" s="84">
        <f>'BenchmarkIOMatrix-1995'!I23</f>
        <v>71946.141329368314</v>
      </c>
      <c r="Q10" s="84">
        <v>0</v>
      </c>
      <c r="R10" s="86">
        <f>'BenchmarkIOMatrix-1995'!J23</f>
        <v>110572.75313071824</v>
      </c>
      <c r="S10" s="83">
        <v>0</v>
      </c>
      <c r="T10" s="84">
        <f>'BenchmarkIOMatrix-1995'!K23</f>
        <v>109753.5638649686</v>
      </c>
      <c r="U10" s="84">
        <v>0</v>
      </c>
      <c r="V10" s="84">
        <v>0</v>
      </c>
      <c r="W10" s="84">
        <v>0</v>
      </c>
      <c r="X10" s="84">
        <f>'BenchmarkIOMatrix-1995'!M23</f>
        <v>80501.005451682257</v>
      </c>
      <c r="Y10" s="84">
        <v>0</v>
      </c>
      <c r="Z10" s="87">
        <f>'BenchmarkIOMatrix-1995'!N23</f>
        <v>126077.31593519982</v>
      </c>
      <c r="AA10" s="62">
        <f>SUM(AB9:AB10)</f>
        <v>27770755.032131419</v>
      </c>
      <c r="AB10" s="62">
        <f t="shared" si="0"/>
        <v>1497297.3898931886</v>
      </c>
      <c r="AC10" s="62">
        <f>D34</f>
        <v>1381924.8689933089</v>
      </c>
      <c r="AD10" s="48"/>
      <c r="AE10" s="77"/>
    </row>
    <row r="11" spans="1:31" x14ac:dyDescent="0.25">
      <c r="A11" s="161"/>
      <c r="B11" s="78" t="s">
        <v>16</v>
      </c>
      <c r="C11" s="83">
        <v>0</v>
      </c>
      <c r="D11" s="84">
        <v>0</v>
      </c>
      <c r="E11" s="84">
        <v>0</v>
      </c>
      <c r="F11" s="84">
        <v>0</v>
      </c>
      <c r="G11" s="84">
        <f>'BenchmarkIOMatrix-1995'!E24</f>
        <v>3640906.9840632132</v>
      </c>
      <c r="H11" s="84">
        <v>0</v>
      </c>
      <c r="I11" s="84">
        <v>0</v>
      </c>
      <c r="J11" s="86">
        <v>0</v>
      </c>
      <c r="K11" s="83">
        <v>0</v>
      </c>
      <c r="L11" s="84">
        <v>0</v>
      </c>
      <c r="M11" s="84">
        <v>0</v>
      </c>
      <c r="N11" s="84">
        <v>0</v>
      </c>
      <c r="O11" s="84">
        <f>'BenchmarkIOMatrix-1995'!I24</f>
        <v>2571912.3435154334</v>
      </c>
      <c r="P11" s="84">
        <v>0</v>
      </c>
      <c r="Q11" s="84">
        <v>0</v>
      </c>
      <c r="R11" s="86">
        <v>0</v>
      </c>
      <c r="S11" s="83">
        <v>0</v>
      </c>
      <c r="T11" s="84">
        <v>0</v>
      </c>
      <c r="U11" s="84">
        <v>0</v>
      </c>
      <c r="V11" s="84">
        <v>0</v>
      </c>
      <c r="W11" s="84">
        <f>'BenchmarkIOMatrix-1995'!M24</f>
        <v>981448.19822669344</v>
      </c>
      <c r="X11" s="84">
        <v>0</v>
      </c>
      <c r="Y11" s="84">
        <v>0</v>
      </c>
      <c r="Z11" s="87">
        <v>0</v>
      </c>
      <c r="AA11" s="62"/>
      <c r="AB11" s="62">
        <f t="shared" si="0"/>
        <v>7194267.5258053401</v>
      </c>
      <c r="AC11" s="62">
        <f>'BenchmarkIOMatrix-2011'!E35-'Alt4-NX'!AC12</f>
        <v>42417146.942515232</v>
      </c>
      <c r="AD11" s="2"/>
      <c r="AE11" s="13"/>
    </row>
    <row r="12" spans="1:31" x14ac:dyDescent="0.25">
      <c r="A12" s="161"/>
      <c r="B12" s="78" t="s">
        <v>20</v>
      </c>
      <c r="C12" s="83">
        <v>0</v>
      </c>
      <c r="D12" s="84">
        <f>'BenchmarkIOMatrix-1995'!C24</f>
        <v>95152.366388163427</v>
      </c>
      <c r="E12" s="84">
        <v>0</v>
      </c>
      <c r="F12" s="84">
        <f>'BenchmarkIOMatrix-1995'!D24</f>
        <v>235463.17281323919</v>
      </c>
      <c r="G12" s="84">
        <v>0</v>
      </c>
      <c r="H12" s="84">
        <v>0</v>
      </c>
      <c r="I12" s="84">
        <v>0</v>
      </c>
      <c r="J12" s="86">
        <f>'BenchmarkIOMatrix-1995'!F24</f>
        <v>107542.97285170347</v>
      </c>
      <c r="K12" s="83">
        <v>0</v>
      </c>
      <c r="L12" s="84">
        <f>'BenchmarkIOMatrix-1995'!G24</f>
        <v>69612.719485673399</v>
      </c>
      <c r="M12" s="84">
        <v>0</v>
      </c>
      <c r="N12" s="84">
        <f>'BenchmarkIOMatrix-1995'!H24</f>
        <v>118632.42681035015</v>
      </c>
      <c r="O12" s="84">
        <v>0</v>
      </c>
      <c r="P12" s="84">
        <v>0</v>
      </c>
      <c r="Q12" s="84">
        <v>0</v>
      </c>
      <c r="R12" s="86">
        <f>'BenchmarkIOMatrix-1995'!J24</f>
        <v>27544.246953702092</v>
      </c>
      <c r="S12" s="83">
        <v>0</v>
      </c>
      <c r="T12" s="84">
        <f>'BenchmarkIOMatrix-1995'!K24</f>
        <v>30617.293819350543</v>
      </c>
      <c r="U12" s="84">
        <v>0</v>
      </c>
      <c r="V12" s="84">
        <f>'BenchmarkIOMatrix-1995'!L24</f>
        <v>28805.311450726502</v>
      </c>
      <c r="W12" s="84">
        <v>0</v>
      </c>
      <c r="X12" s="84">
        <v>0</v>
      </c>
      <c r="Y12" s="84">
        <v>0</v>
      </c>
      <c r="Z12" s="87">
        <f>'BenchmarkIOMatrix-1995'!N24</f>
        <v>25405.79746879491</v>
      </c>
      <c r="AA12" s="62">
        <f>SUM(AB11:AB12)</f>
        <v>7933043.833847044</v>
      </c>
      <c r="AB12" s="62">
        <f t="shared" si="0"/>
        <v>738776.30804170354</v>
      </c>
      <c r="AC12" s="62">
        <f>E34</f>
        <v>820041.87801455939</v>
      </c>
      <c r="AD12" s="48"/>
      <c r="AE12" s="77"/>
    </row>
    <row r="13" spans="1:31" x14ac:dyDescent="0.25">
      <c r="A13" s="161"/>
      <c r="B13" s="78" t="s">
        <v>17</v>
      </c>
      <c r="C13" s="83">
        <v>0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f>'BenchmarkIOMatrix-1995'!F25</f>
        <v>2199233.0214599343</v>
      </c>
      <c r="J13" s="86">
        <v>0</v>
      </c>
      <c r="K13" s="83">
        <v>0</v>
      </c>
      <c r="L13" s="84">
        <v>0</v>
      </c>
      <c r="M13" s="84">
        <v>0</v>
      </c>
      <c r="N13" s="84">
        <v>0</v>
      </c>
      <c r="O13" s="84">
        <v>0</v>
      </c>
      <c r="P13" s="84">
        <v>0</v>
      </c>
      <c r="Q13" s="84">
        <f>'BenchmarkIOMatrix-1995'!J25</f>
        <v>2458210.4419855447</v>
      </c>
      <c r="R13" s="86">
        <v>0</v>
      </c>
      <c r="S13" s="83">
        <v>0</v>
      </c>
      <c r="T13" s="84">
        <v>0</v>
      </c>
      <c r="U13" s="84">
        <v>0</v>
      </c>
      <c r="V13" s="84">
        <v>0</v>
      </c>
      <c r="W13" s="84">
        <v>0</v>
      </c>
      <c r="X13" s="84">
        <v>0</v>
      </c>
      <c r="Y13" s="84">
        <f>'BenchmarkIOMatrix-1995'!N25</f>
        <v>644548.46693251166</v>
      </c>
      <c r="Z13" s="87">
        <v>0</v>
      </c>
      <c r="AA13" s="62"/>
      <c r="AB13" s="62">
        <f t="shared" si="0"/>
        <v>5301991.9303779909</v>
      </c>
      <c r="AC13" s="62">
        <f>'BenchmarkIOMatrix-2011'!F35-'Alt4-NX'!AC14</f>
        <v>21286606.168068167</v>
      </c>
      <c r="AD13" s="2"/>
      <c r="AE13" s="77"/>
    </row>
    <row r="14" spans="1:31" x14ac:dyDescent="0.25">
      <c r="A14" s="161"/>
      <c r="B14" s="78" t="s">
        <v>21</v>
      </c>
      <c r="C14" s="83">
        <v>0</v>
      </c>
      <c r="D14" s="84">
        <f>'BenchmarkIOMatrix-1995'!C25</f>
        <v>103957.0235870342</v>
      </c>
      <c r="E14" s="84">
        <v>0</v>
      </c>
      <c r="F14" s="84">
        <f>'BenchmarkIOMatrix-1995'!D25</f>
        <v>268168.77441047278</v>
      </c>
      <c r="G14" s="84">
        <v>0</v>
      </c>
      <c r="H14" s="84">
        <f>'BenchmarkIOMatrix-1995'!E25</f>
        <v>110477.23760934155</v>
      </c>
      <c r="I14" s="84">
        <v>0</v>
      </c>
      <c r="J14" s="86">
        <v>0</v>
      </c>
      <c r="K14" s="83">
        <v>0</v>
      </c>
      <c r="L14" s="84">
        <f>'BenchmarkIOMatrix-1995'!G25</f>
        <v>47489.886967469742</v>
      </c>
      <c r="M14" s="84">
        <v>0</v>
      </c>
      <c r="N14" s="84">
        <f>'BenchmarkIOMatrix-1995'!H25</f>
        <v>88682.262198576325</v>
      </c>
      <c r="O14" s="84">
        <v>0</v>
      </c>
      <c r="P14" s="84">
        <f>'BenchmarkIOMatrix-1995'!I25</f>
        <v>26264.927119951724</v>
      </c>
      <c r="Q14" s="84">
        <v>0</v>
      </c>
      <c r="R14" s="86">
        <v>0</v>
      </c>
      <c r="S14" s="83">
        <v>0</v>
      </c>
      <c r="T14" s="84">
        <f>'BenchmarkIOMatrix-1995'!K25</f>
        <v>21947.139110096494</v>
      </c>
      <c r="U14" s="84">
        <v>0</v>
      </c>
      <c r="V14" s="84">
        <f>'BenchmarkIOMatrix-1995'!L25</f>
        <v>25602.924875657292</v>
      </c>
      <c r="W14" s="84">
        <v>0</v>
      </c>
      <c r="X14" s="84">
        <f>'BenchmarkIOMatrix-1995'!M25</f>
        <v>8714.6296226206923</v>
      </c>
      <c r="Y14" s="84">
        <v>0</v>
      </c>
      <c r="Z14" s="87">
        <v>0</v>
      </c>
      <c r="AA14" s="62">
        <f>SUM(AB13:AB14)</f>
        <v>6003296.7358792117</v>
      </c>
      <c r="AB14" s="62">
        <f t="shared" si="0"/>
        <v>701304.80550122075</v>
      </c>
      <c r="AC14" s="62">
        <f>F34</f>
        <v>817317.39345975628</v>
      </c>
      <c r="AD14" s="48"/>
      <c r="AE14" s="77"/>
    </row>
    <row r="15" spans="1:31" x14ac:dyDescent="0.25">
      <c r="A15" s="14"/>
      <c r="B15" s="7" t="s">
        <v>2</v>
      </c>
      <c r="C15" s="91">
        <f>'BenchmarkIOMatrix-1995'!C26</f>
        <v>7449828.5891882153</v>
      </c>
      <c r="D15" s="92">
        <v>0</v>
      </c>
      <c r="E15" s="92">
        <f>'BenchmarkIOMatrix-1995'!D26</f>
        <v>14763270.907534719</v>
      </c>
      <c r="F15" s="92">
        <v>0</v>
      </c>
      <c r="G15" s="92">
        <f>'BenchmarkIOMatrix-1995'!E26</f>
        <v>3845397.4757379903</v>
      </c>
      <c r="H15" s="92">
        <v>0</v>
      </c>
      <c r="I15" s="92">
        <f>'BenchmarkIOMatrix-1995'!F26</f>
        <v>3100061.9108390249</v>
      </c>
      <c r="J15" s="93">
        <v>0</v>
      </c>
      <c r="K15" s="91">
        <v>0</v>
      </c>
      <c r="L15" s="92">
        <v>0</v>
      </c>
      <c r="M15" s="92">
        <v>0</v>
      </c>
      <c r="N15" s="92">
        <v>0</v>
      </c>
      <c r="O15" s="92">
        <v>0</v>
      </c>
      <c r="P15" s="92">
        <v>0</v>
      </c>
      <c r="Q15" s="92">
        <v>0</v>
      </c>
      <c r="R15" s="93">
        <v>0</v>
      </c>
      <c r="S15" s="91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4">
        <v>0</v>
      </c>
      <c r="AA15" s="62"/>
      <c r="AB15" s="62">
        <f t="shared" si="0"/>
        <v>29158558.883299947</v>
      </c>
      <c r="AC15" s="62">
        <f>AB15</f>
        <v>29158558.883299947</v>
      </c>
      <c r="AD15" s="48"/>
      <c r="AE15" s="13"/>
    </row>
    <row r="16" spans="1:31" x14ac:dyDescent="0.25">
      <c r="A16" s="57"/>
      <c r="B16" s="79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71">
        <f>SUM(AB7:AB15)</f>
        <v>84340867.423234761</v>
      </c>
      <c r="AC16" s="71">
        <f>SUM(AC7:AC15)</f>
        <v>170926443.08579445</v>
      </c>
      <c r="AD16" s="2"/>
      <c r="AE16" s="13"/>
    </row>
    <row r="17" spans="1:31" x14ac:dyDescent="0.25">
      <c r="A17" s="57"/>
      <c r="B17" s="80" t="s">
        <v>28</v>
      </c>
      <c r="C17" s="62">
        <f>SUM(C7:C15)</f>
        <v>13014632.855625601</v>
      </c>
      <c r="D17" s="62">
        <f t="shared" ref="D17:Z17" si="1">SUM(D7:D15)</f>
        <v>460580.08244588255</v>
      </c>
      <c r="E17" s="62">
        <f t="shared" si="1"/>
        <v>27038337.726385273</v>
      </c>
      <c r="F17" s="62">
        <f t="shared" si="1"/>
        <v>732417.3057521584</v>
      </c>
      <c r="G17" s="62">
        <f t="shared" si="1"/>
        <v>7486304.4598012036</v>
      </c>
      <c r="H17" s="62">
        <f t="shared" si="1"/>
        <v>446739.37404517474</v>
      </c>
      <c r="I17" s="62">
        <f t="shared" si="1"/>
        <v>5299294.9322989592</v>
      </c>
      <c r="J17" s="62">
        <f t="shared" si="1"/>
        <v>704001.80358052347</v>
      </c>
      <c r="K17" s="62">
        <f t="shared" si="1"/>
        <v>5926949.1729290169</v>
      </c>
      <c r="L17" s="62">
        <f t="shared" si="1"/>
        <v>213354.7457399733</v>
      </c>
      <c r="M17" s="62">
        <f t="shared" si="1"/>
        <v>10704035.358149167</v>
      </c>
      <c r="N17" s="62">
        <f t="shared" si="1"/>
        <v>288107.96060282877</v>
      </c>
      <c r="O17" s="62">
        <f t="shared" si="1"/>
        <v>2571912.3435154334</v>
      </c>
      <c r="P17" s="62">
        <f t="shared" si="1"/>
        <v>122007.9866515758</v>
      </c>
      <c r="Q17" s="62">
        <f t="shared" si="1"/>
        <v>2458210.4419855447</v>
      </c>
      <c r="R17" s="62">
        <f t="shared" si="1"/>
        <v>177499.30501045418</v>
      </c>
      <c r="S17" s="62">
        <f t="shared" si="1"/>
        <v>1218234.1868745731</v>
      </c>
      <c r="T17" s="62">
        <f t="shared" si="1"/>
        <v>162317.99679441564</v>
      </c>
      <c r="U17" s="62">
        <f t="shared" si="1"/>
        <v>3294355.465238513</v>
      </c>
      <c r="V17" s="62">
        <f t="shared" si="1"/>
        <v>105654.29070748686</v>
      </c>
      <c r="W17" s="62">
        <f t="shared" si="1"/>
        <v>981448.19822669344</v>
      </c>
      <c r="X17" s="62">
        <f t="shared" si="1"/>
        <v>112486.89349930918</v>
      </c>
      <c r="Y17" s="62">
        <f t="shared" si="1"/>
        <v>644548.46693251166</v>
      </c>
      <c r="Z17" s="62">
        <f t="shared" si="1"/>
        <v>177436.07044248722</v>
      </c>
      <c r="AA17" s="71">
        <f>SUM(C17:Z17)</f>
        <v>84340867.423234761</v>
      </c>
      <c r="AB17" s="62"/>
      <c r="AC17" s="62"/>
      <c r="AD17" s="2"/>
      <c r="AE17" s="13"/>
    </row>
    <row r="18" spans="1:31" x14ac:dyDescent="0.25">
      <c r="A18" s="57"/>
      <c r="B18" s="80" t="s">
        <v>40</v>
      </c>
      <c r="C18" s="62">
        <f>'BenchmarkIOMatrix-2011'!C35-'Alt4-NX'!C40</f>
        <v>26412429.490279403</v>
      </c>
      <c r="D18" s="62">
        <f>C40</f>
        <v>505690.96749149781</v>
      </c>
      <c r="E18" s="62">
        <f>'BenchmarkIOMatrix-2011'!D35-'Alt4-NX'!D40</f>
        <v>48701200.879135437</v>
      </c>
      <c r="F18" s="62">
        <f>D40</f>
        <v>807450.48353043047</v>
      </c>
      <c r="G18" s="62">
        <f>'BenchmarkIOMatrix-2011'!E35-'Alt4-NX'!E40</f>
        <v>42843741.731241994</v>
      </c>
      <c r="H18" s="62">
        <f>E40</f>
        <v>393447.0892877946</v>
      </c>
      <c r="I18" s="62">
        <f>'BenchmarkIOMatrix-2011'!F35-'Alt4-NX'!F40</f>
        <v>21477049.157738384</v>
      </c>
      <c r="J18" s="62">
        <f>F40</f>
        <v>626874.40378953749</v>
      </c>
      <c r="K18" s="62">
        <f>C52</f>
        <v>5772310.8773235064</v>
      </c>
      <c r="L18" s="62">
        <f>C41</f>
        <v>234251.48395301422</v>
      </c>
      <c r="M18" s="62">
        <f>D52</f>
        <v>10498286.155263906</v>
      </c>
      <c r="N18" s="62">
        <f>D41</f>
        <v>317623.45082605217</v>
      </c>
      <c r="O18" s="62">
        <f>E52</f>
        <v>2702058.921441515</v>
      </c>
      <c r="P18" s="62">
        <f>E41</f>
        <v>107453.45050573583</v>
      </c>
      <c r="Q18" s="62">
        <f>F52</f>
        <v>2654523.2114988854</v>
      </c>
      <c r="R18" s="62">
        <f>F41</f>
        <v>158053.24707347673</v>
      </c>
      <c r="S18" s="62">
        <f>C53</f>
        <v>1172266.4564311651</v>
      </c>
      <c r="T18" s="62">
        <f>C42</f>
        <v>178216.01056727074</v>
      </c>
      <c r="U18" s="62">
        <f>D53</f>
        <v>3229020.283202406</v>
      </c>
      <c r="V18" s="62">
        <f>D42</f>
        <v>116478.14360587092</v>
      </c>
      <c r="W18" s="62">
        <f>E53</f>
        <v>1041806.045461799</v>
      </c>
      <c r="X18" s="62">
        <f>E42</f>
        <v>99068.144429673615</v>
      </c>
      <c r="Y18" s="62">
        <f>F53</f>
        <v>719146.06150379102</v>
      </c>
      <c r="Z18" s="62">
        <f>F42</f>
        <v>157996.94021191547</v>
      </c>
      <c r="AA18" s="71">
        <f>SUM(C18:Z18)</f>
        <v>170926443.08579451</v>
      </c>
      <c r="AB18" s="62"/>
      <c r="AC18" s="62"/>
      <c r="AD18" s="2"/>
      <c r="AE18" s="13"/>
    </row>
    <row r="19" spans="1:31" x14ac:dyDescent="0.25">
      <c r="A19" s="81"/>
      <c r="B19" s="82"/>
      <c r="C19" s="82"/>
      <c r="D19" s="82"/>
      <c r="E19" s="82"/>
      <c r="F19" s="82"/>
      <c r="G19" s="20"/>
      <c r="H19" s="82"/>
      <c r="I19" s="82"/>
      <c r="J19" s="82"/>
      <c r="K19" s="82"/>
      <c r="L19" s="82"/>
      <c r="M19" s="82"/>
      <c r="N19" s="82"/>
      <c r="O19" s="20"/>
      <c r="P19" s="20"/>
      <c r="Q19" s="82"/>
      <c r="R19" s="20"/>
      <c r="S19" s="82"/>
      <c r="T19" s="82"/>
      <c r="U19" s="82"/>
      <c r="V19" s="82"/>
      <c r="W19" s="20"/>
      <c r="X19" s="20"/>
      <c r="Y19" s="82"/>
      <c r="Z19" s="20"/>
      <c r="AA19" s="20"/>
      <c r="AB19" s="20"/>
      <c r="AC19" s="20"/>
      <c r="AD19" s="20"/>
      <c r="AE19" s="21"/>
    </row>
    <row r="20" spans="1:31" x14ac:dyDescent="0.25">
      <c r="A20" s="7"/>
      <c r="B20" s="5"/>
      <c r="C20" s="5"/>
      <c r="D20" s="5"/>
      <c r="E20" s="5"/>
      <c r="F20" s="5"/>
      <c r="H20" s="5"/>
      <c r="I20" s="5"/>
      <c r="J20" s="5"/>
      <c r="K20" s="5"/>
      <c r="L20" s="5"/>
      <c r="M20" s="5"/>
      <c r="N20" s="5"/>
      <c r="Q20" s="5"/>
      <c r="S20" s="5"/>
      <c r="T20" s="5"/>
      <c r="U20" s="5"/>
      <c r="V20" s="5"/>
      <c r="Y20" s="5"/>
    </row>
    <row r="21" spans="1:31" x14ac:dyDescent="0.25">
      <c r="A21" s="59" t="s">
        <v>83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6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31" x14ac:dyDescent="0.25">
      <c r="A22" s="57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31" x14ac:dyDescent="0.25">
      <c r="A23" s="57"/>
      <c r="B23" s="79"/>
      <c r="C23" s="80" t="s">
        <v>7</v>
      </c>
      <c r="D23" s="80" t="s">
        <v>8</v>
      </c>
      <c r="E23" s="80" t="s">
        <v>9</v>
      </c>
      <c r="F23" s="80" t="s">
        <v>0</v>
      </c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31" x14ac:dyDescent="0.25">
      <c r="A24" s="57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7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31" x14ac:dyDescent="0.25">
      <c r="A25" s="57"/>
      <c r="B25" s="97" t="s">
        <v>148</v>
      </c>
      <c r="C25" s="79"/>
      <c r="D25" s="79"/>
      <c r="E25" s="79"/>
      <c r="F25" s="79"/>
      <c r="G25" s="79"/>
      <c r="H25" s="79"/>
      <c r="I25" s="79"/>
      <c r="J25" s="79"/>
      <c r="K25" s="79"/>
      <c r="L25" s="77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31" x14ac:dyDescent="0.25">
      <c r="A26" s="57"/>
      <c r="B26" s="80" t="s">
        <v>88</v>
      </c>
      <c r="C26" s="79">
        <f>'BenchmarkIOMatrix-1995'!C34</f>
        <v>7449828.5891882153</v>
      </c>
      <c r="D26" s="79">
        <f>'BenchmarkIOMatrix-1995'!D34</f>
        <v>14763270.907534719</v>
      </c>
      <c r="E26" s="79">
        <f>'BenchmarkIOMatrix-1995'!E34</f>
        <v>3845397.4757379903</v>
      </c>
      <c r="F26" s="79">
        <f>'BenchmarkIOMatrix-1995'!F34</f>
        <v>3100061.9108390249</v>
      </c>
      <c r="G26" s="79"/>
      <c r="H26" s="79"/>
      <c r="I26" s="79"/>
      <c r="J26" s="79"/>
      <c r="K26" s="79"/>
      <c r="L26" s="77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31" x14ac:dyDescent="0.25">
      <c r="A27" s="57"/>
      <c r="B27" s="7" t="s">
        <v>147</v>
      </c>
      <c r="C27" s="2">
        <f>'BenchmarkIOMatrix-2011'!C40/SUM('BenchmarkIOMatrix-2011'!$C$34:$F$34)</f>
        <v>-8.05385438104202E-3</v>
      </c>
      <c r="D27" s="2">
        <f>'BenchmarkIOMatrix-2011'!D40/SUM('BenchmarkIOMatrix-2011'!$C$34:$F$34)</f>
        <v>4.8141196412608495E-3</v>
      </c>
      <c r="E27" s="2">
        <f>'BenchmarkIOMatrix-2011'!E40/SUM('BenchmarkIOMatrix-2011'!$C$34:$F$34)</f>
        <v>7.5474646971458656E-3</v>
      </c>
      <c r="F27" s="2">
        <f>'BenchmarkIOMatrix-2011'!F40/SUM('BenchmarkIOMatrix-2011'!$C$34:$F$34)</f>
        <v>-4.307729957364689E-3</v>
      </c>
      <c r="G27" s="79"/>
      <c r="H27" s="79"/>
      <c r="I27" s="79"/>
      <c r="J27" s="79"/>
      <c r="K27" s="2"/>
      <c r="L27" s="13"/>
      <c r="M27" s="5"/>
      <c r="N27" s="5"/>
      <c r="O27" s="5"/>
      <c r="P27" s="5"/>
      <c r="Q27" s="5"/>
      <c r="R27" s="5"/>
      <c r="U27" s="5"/>
      <c r="V27" s="5"/>
      <c r="W27" s="5"/>
      <c r="X27" s="5"/>
      <c r="Y27" s="5"/>
      <c r="Z27" s="5"/>
    </row>
    <row r="28" spans="1:31" x14ac:dyDescent="0.25">
      <c r="A28" s="57"/>
      <c r="B28" s="7" t="s">
        <v>122</v>
      </c>
      <c r="C28" s="2">
        <f>C27*SUM($C$26:$F$26)</f>
        <v>-234838.78720713698</v>
      </c>
      <c r="D28" s="2">
        <f t="shared" ref="D28:F28" si="2">D27*SUM($C$26:$F$26)</f>
        <v>140372.7910309553</v>
      </c>
      <c r="E28" s="2">
        <f t="shared" si="2"/>
        <v>220073.19379135533</v>
      </c>
      <c r="F28" s="2">
        <f t="shared" si="2"/>
        <v>-125607.19761517346</v>
      </c>
      <c r="G28" s="2"/>
      <c r="H28" s="2"/>
      <c r="I28" s="2"/>
      <c r="J28" s="2"/>
      <c r="K28" s="2"/>
      <c r="L28" s="13"/>
    </row>
    <row r="29" spans="1:31" x14ac:dyDescent="0.25">
      <c r="A29" s="98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7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31" x14ac:dyDescent="0.25">
      <c r="A30" s="98"/>
      <c r="B30" s="97" t="s">
        <v>149</v>
      </c>
      <c r="C30" s="79"/>
      <c r="D30" s="79"/>
      <c r="E30" s="79"/>
      <c r="F30" s="79"/>
      <c r="G30" s="2"/>
      <c r="H30" s="2"/>
      <c r="I30" s="2"/>
      <c r="J30" s="2"/>
      <c r="K30" s="79"/>
      <c r="L30" s="77"/>
      <c r="M30" s="5"/>
      <c r="N30" s="5"/>
      <c r="S30" s="5"/>
      <c r="T30" s="5"/>
      <c r="U30" s="5"/>
      <c r="V30" s="5"/>
    </row>
    <row r="31" spans="1:31" x14ac:dyDescent="0.25">
      <c r="A31" s="14"/>
      <c r="B31" s="43" t="s">
        <v>150</v>
      </c>
      <c r="C31" s="99">
        <f>'BenchmarkIOMatrix-1995'!C44</f>
        <v>0.21496845432667014</v>
      </c>
      <c r="D31" s="99">
        <f>'BenchmarkIOMatrix-1995'!D44</f>
        <v>0.17770296050157292</v>
      </c>
      <c r="E31" s="99">
        <f>'BenchmarkIOMatrix-1995'!E44</f>
        <v>0.36927536651207732</v>
      </c>
      <c r="F31" s="99">
        <f>'BenchmarkIOMatrix-1995'!F44</f>
        <v>0.56780865516917378</v>
      </c>
      <c r="G31" s="99"/>
      <c r="H31" s="99"/>
      <c r="I31" s="100"/>
      <c r="J31" s="99"/>
      <c r="K31" s="99"/>
      <c r="L31" s="101"/>
      <c r="M31" s="4"/>
      <c r="N31" s="4"/>
      <c r="O31" s="4"/>
      <c r="P31" s="4"/>
      <c r="Q31" s="1"/>
      <c r="R31" s="4"/>
      <c r="S31" s="4"/>
      <c r="T31" s="4"/>
      <c r="U31" s="4"/>
      <c r="V31" s="4"/>
      <c r="W31" s="4"/>
      <c r="X31" s="4"/>
      <c r="Y31" s="1"/>
      <c r="Z31" s="4"/>
    </row>
    <row r="32" spans="1:31" x14ac:dyDescent="0.25">
      <c r="A32" s="14"/>
      <c r="B32" s="8" t="s">
        <v>118</v>
      </c>
      <c r="C32" s="102">
        <f>C31*C26</f>
        <v>1601478.1368164283</v>
      </c>
      <c r="D32" s="102">
        <f t="shared" ref="D32:F32" si="3">D31*D26</f>
        <v>2623476.9469556627</v>
      </c>
      <c r="E32" s="102">
        <f t="shared" si="3"/>
        <v>1420010.5622377633</v>
      </c>
      <c r="F32" s="102">
        <f t="shared" si="3"/>
        <v>1760241.984534686</v>
      </c>
      <c r="G32" s="103"/>
      <c r="H32" s="103"/>
      <c r="I32" s="103"/>
      <c r="J32" s="103"/>
      <c r="K32" s="103"/>
      <c r="L32" s="104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x14ac:dyDescent="0.25">
      <c r="A33" s="14"/>
      <c r="B33" s="43" t="s">
        <v>153</v>
      </c>
      <c r="C33" s="2">
        <f>(C32-C28)/2</f>
        <v>918158.46201178269</v>
      </c>
      <c r="D33" s="2">
        <f t="shared" ref="D33:F33" si="4">(D32-D28)/2</f>
        <v>1241552.0779623536</v>
      </c>
      <c r="E33" s="2">
        <f t="shared" si="4"/>
        <v>599968.68422320404</v>
      </c>
      <c r="F33" s="2">
        <f t="shared" si="4"/>
        <v>942924.59107492969</v>
      </c>
      <c r="G33" s="2"/>
      <c r="H33" s="2"/>
      <c r="I33" s="2"/>
      <c r="J33" s="2"/>
      <c r="K33" s="2"/>
      <c r="L33" s="13"/>
    </row>
    <row r="34" spans="1:26" x14ac:dyDescent="0.25">
      <c r="A34" s="57"/>
      <c r="B34" s="43" t="s">
        <v>152</v>
      </c>
      <c r="C34" s="2">
        <f>C28+C33</f>
        <v>683319.67480464571</v>
      </c>
      <c r="D34" s="2">
        <f t="shared" ref="D34:F34" si="5">D28+D33</f>
        <v>1381924.8689933089</v>
      </c>
      <c r="E34" s="2">
        <f t="shared" si="5"/>
        <v>820041.87801455939</v>
      </c>
      <c r="F34" s="2">
        <f t="shared" si="5"/>
        <v>817317.39345975628</v>
      </c>
      <c r="G34" s="2"/>
      <c r="H34" s="2"/>
      <c r="I34" s="2"/>
      <c r="J34" s="2"/>
      <c r="K34" s="2"/>
      <c r="L34" s="13"/>
    </row>
    <row r="35" spans="1:26" x14ac:dyDescent="0.25">
      <c r="A35" s="14"/>
      <c r="B35" s="43"/>
      <c r="C35" s="2"/>
      <c r="D35" s="2"/>
      <c r="E35" s="2"/>
      <c r="F35" s="2"/>
      <c r="G35" s="2"/>
      <c r="H35" s="2"/>
      <c r="I35" s="2"/>
      <c r="J35" s="2"/>
      <c r="K35" s="2"/>
      <c r="L35" s="13"/>
    </row>
    <row r="36" spans="1:26" x14ac:dyDescent="0.25">
      <c r="A36" s="14"/>
      <c r="B36" s="44" t="s">
        <v>86</v>
      </c>
      <c r="C36" s="43"/>
      <c r="D36" s="43"/>
      <c r="E36" s="43"/>
      <c r="F36" s="43"/>
      <c r="G36" s="8"/>
      <c r="H36" s="8"/>
      <c r="I36" s="8"/>
      <c r="J36" s="8"/>
      <c r="K36" s="8"/>
      <c r="L36" s="13"/>
      <c r="O36" s="156"/>
      <c r="P36" s="156"/>
      <c r="Q36" s="156"/>
      <c r="R36" s="156"/>
      <c r="S36" s="8"/>
      <c r="W36" s="156"/>
      <c r="X36" s="156"/>
      <c r="Y36" s="156"/>
      <c r="Z36" s="156"/>
    </row>
    <row r="37" spans="1:26" x14ac:dyDescent="0.25">
      <c r="A37" s="14"/>
      <c r="B37" s="43" t="s">
        <v>130</v>
      </c>
      <c r="C37" s="45">
        <f>'BenchmarkIOMatrix-1995'!C49/'BenchmarkIOMatrix-1995'!C39</f>
        <v>0.55076654892824839</v>
      </c>
      <c r="D37" s="45">
        <f>'BenchmarkIOMatrix-1995'!D49/'BenchmarkIOMatrix-1995'!D39</f>
        <v>0.65035571029418715</v>
      </c>
      <c r="E37" s="45">
        <f>'BenchmarkIOMatrix-1995'!E49/'BenchmarkIOMatrix-1995'!E39</f>
        <v>0.65577937588059509</v>
      </c>
      <c r="F37" s="45">
        <f>'BenchmarkIOMatrix-1995'!F49/'BenchmarkIOMatrix-1995'!F39</f>
        <v>0.6648192333969184</v>
      </c>
      <c r="G37" s="12"/>
      <c r="H37" s="12"/>
      <c r="I37" s="12"/>
      <c r="J37" s="12"/>
      <c r="K37" s="12"/>
      <c r="L37" s="105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x14ac:dyDescent="0.25">
      <c r="A38" s="57"/>
      <c r="B38" s="43" t="s">
        <v>131</v>
      </c>
      <c r="C38" s="45">
        <f>'BenchmarkIOMatrix-1995'!C68/'BenchmarkIOMatrix-1995'!C39</f>
        <v>0.25513186845737318</v>
      </c>
      <c r="D38" s="45">
        <f>'BenchmarkIOMatrix-1995'!D68/'BenchmarkIOMatrix-1995'!D39</f>
        <v>0.25582773084101201</v>
      </c>
      <c r="E38" s="45">
        <f>'BenchmarkIOMatrix-1995'!E68/'BenchmarkIOMatrix-1995'!E39</f>
        <v>0.17909843185375379</v>
      </c>
      <c r="F38" s="45">
        <f>'BenchmarkIOMatrix-1995'!F68/'BenchmarkIOMatrix-1995'!F39</f>
        <v>0.1676202408649633</v>
      </c>
      <c r="G38" s="2"/>
      <c r="H38" s="2"/>
      <c r="I38" s="79"/>
      <c r="J38" s="2"/>
      <c r="K38" s="79"/>
      <c r="L38" s="77"/>
      <c r="M38" s="5"/>
      <c r="N38" s="5"/>
      <c r="Q38" s="5"/>
      <c r="S38" s="5"/>
      <c r="T38" s="5"/>
      <c r="U38" s="5"/>
      <c r="V38" s="5"/>
      <c r="Y38" s="5"/>
    </row>
    <row r="39" spans="1:26" x14ac:dyDescent="0.25">
      <c r="A39" s="57"/>
      <c r="B39" s="43" t="s">
        <v>132</v>
      </c>
      <c r="C39" s="45">
        <f>'BenchmarkIOMatrix-1995'!C77/'BenchmarkIOMatrix-1995'!C39</f>
        <v>0.19410158261437849</v>
      </c>
      <c r="D39" s="45">
        <f>'BenchmarkIOMatrix-1995'!D77/'BenchmarkIOMatrix-1995'!D39</f>
        <v>9.3816558864800823E-2</v>
      </c>
      <c r="E39" s="45">
        <f>'BenchmarkIOMatrix-1995'!E77/'BenchmarkIOMatrix-1995'!E39</f>
        <v>0.16512219226565111</v>
      </c>
      <c r="F39" s="45">
        <f>'BenchmarkIOMatrix-1995'!F77/'BenchmarkIOMatrix-1995'!F39</f>
        <v>0.16756052573811833</v>
      </c>
      <c r="G39" s="2"/>
      <c r="H39" s="2"/>
      <c r="I39" s="79"/>
      <c r="J39" s="2"/>
      <c r="K39" s="79"/>
      <c r="L39" s="77"/>
      <c r="M39" s="5"/>
      <c r="N39" s="5"/>
      <c r="Q39" s="5"/>
      <c r="S39" s="5"/>
      <c r="T39" s="5"/>
      <c r="U39" s="5"/>
      <c r="V39" s="5"/>
      <c r="Y39" s="5"/>
    </row>
    <row r="40" spans="1:26" x14ac:dyDescent="0.25">
      <c r="A40" s="57"/>
      <c r="B40" s="43" t="s">
        <v>133</v>
      </c>
      <c r="C40" s="45">
        <f>C37*C$33</f>
        <v>505690.96749149781</v>
      </c>
      <c r="D40" s="45">
        <f t="shared" ref="D40:F40" si="6">D37*D$33</f>
        <v>807450.48353043047</v>
      </c>
      <c r="E40" s="45">
        <f t="shared" si="6"/>
        <v>393447.0892877946</v>
      </c>
      <c r="F40" s="45">
        <f t="shared" si="6"/>
        <v>626874.40378953749</v>
      </c>
      <c r="G40" s="2"/>
      <c r="H40" s="79"/>
      <c r="I40" s="79"/>
      <c r="J40" s="79"/>
      <c r="K40" s="79"/>
      <c r="L40" s="77"/>
      <c r="M40" s="5"/>
      <c r="N40" s="5"/>
      <c r="P40" s="5"/>
      <c r="Q40" s="5"/>
      <c r="R40" s="5"/>
      <c r="S40" s="5"/>
      <c r="T40" s="5"/>
      <c r="U40" s="5"/>
      <c r="V40" s="5"/>
      <c r="X40" s="5"/>
      <c r="Y40" s="5"/>
      <c r="Z40" s="5"/>
    </row>
    <row r="41" spans="1:26" x14ac:dyDescent="0.25">
      <c r="A41" s="57"/>
      <c r="B41" s="106" t="s">
        <v>134</v>
      </c>
      <c r="C41" s="45">
        <f t="shared" ref="C41:F41" si="7">C38*C$33</f>
        <v>234251.48395301422</v>
      </c>
      <c r="D41" s="45">
        <f t="shared" si="7"/>
        <v>317623.45082605217</v>
      </c>
      <c r="E41" s="45">
        <f t="shared" si="7"/>
        <v>107453.45050573583</v>
      </c>
      <c r="F41" s="45">
        <f t="shared" si="7"/>
        <v>158053.24707347673</v>
      </c>
      <c r="G41" s="79"/>
      <c r="H41" s="79"/>
      <c r="I41" s="79"/>
      <c r="J41" s="79"/>
      <c r="K41" s="79"/>
      <c r="L41" s="77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5">
      <c r="A42" s="57"/>
      <c r="B42" s="106" t="s">
        <v>135</v>
      </c>
      <c r="C42" s="45">
        <f t="shared" ref="C42:F42" si="8">C39*C$33</f>
        <v>178216.01056727074</v>
      </c>
      <c r="D42" s="45">
        <f t="shared" si="8"/>
        <v>116478.14360587092</v>
      </c>
      <c r="E42" s="45">
        <f t="shared" si="8"/>
        <v>99068.144429673615</v>
      </c>
      <c r="F42" s="45">
        <f t="shared" si="8"/>
        <v>157996.94021191547</v>
      </c>
      <c r="G42" s="79"/>
      <c r="H42" s="79"/>
      <c r="I42" s="79"/>
      <c r="J42" s="79"/>
      <c r="K42" s="79"/>
      <c r="L42" s="77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x14ac:dyDescent="0.25">
      <c r="A43" s="57"/>
      <c r="B43" s="106"/>
      <c r="C43" s="79"/>
      <c r="D43" s="79"/>
      <c r="E43" s="79"/>
      <c r="F43" s="79"/>
      <c r="G43" s="79"/>
      <c r="H43" s="79"/>
      <c r="I43" s="79"/>
      <c r="J43" s="79"/>
      <c r="K43" s="79"/>
      <c r="L43" s="77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x14ac:dyDescent="0.25">
      <c r="A44" s="57"/>
      <c r="B44" s="107" t="s">
        <v>87</v>
      </c>
      <c r="C44" s="79"/>
      <c r="D44" s="79"/>
      <c r="E44" s="79"/>
      <c r="F44" s="79"/>
      <c r="G44" s="79"/>
      <c r="H44" s="79"/>
      <c r="I44" s="79"/>
      <c r="J44" s="79"/>
      <c r="K44" s="79"/>
      <c r="L44" s="77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x14ac:dyDescent="0.25">
      <c r="A45" s="57"/>
      <c r="B45" s="106" t="s">
        <v>136</v>
      </c>
      <c r="C45" s="79">
        <f>'BenchmarkIOMatrix-1995'!G28</f>
        <v>6140303.91866899</v>
      </c>
      <c r="D45" s="79">
        <f>'BenchmarkIOMatrix-1995'!H28</f>
        <v>10992143.318751996</v>
      </c>
      <c r="E45" s="79">
        <f>'BenchmarkIOMatrix-1995'!I28</f>
        <v>2693920.330167009</v>
      </c>
      <c r="F45" s="79">
        <f>'BenchmarkIOMatrix-1995'!J28</f>
        <v>2635709.746995999</v>
      </c>
      <c r="G45" s="79"/>
      <c r="H45" s="2"/>
      <c r="I45" s="79"/>
      <c r="J45" s="2"/>
      <c r="K45" s="79"/>
      <c r="L45" s="77"/>
      <c r="M45" s="5"/>
      <c r="N45" s="5"/>
      <c r="Q45" s="5"/>
      <c r="S45" s="5"/>
      <c r="T45" s="5"/>
      <c r="U45" s="5"/>
      <c r="V45" s="5"/>
      <c r="Y45" s="5"/>
    </row>
    <row r="46" spans="1:26" x14ac:dyDescent="0.25">
      <c r="A46" s="57"/>
      <c r="B46" s="106" t="s">
        <v>136</v>
      </c>
      <c r="C46" s="79">
        <f>'BenchmarkIOMatrix-1995'!K28</f>
        <v>1380552.183668989</v>
      </c>
      <c r="D46" s="79">
        <f>'BenchmarkIOMatrix-1995'!L28</f>
        <v>3400009.7559459996</v>
      </c>
      <c r="E46" s="79">
        <f>'BenchmarkIOMatrix-1995'!M28</f>
        <v>1093935.0917260027</v>
      </c>
      <c r="F46" s="79">
        <f>'BenchmarkIOMatrix-1995'!N28</f>
        <v>821984.53737499891</v>
      </c>
      <c r="G46" s="2"/>
      <c r="H46" s="2"/>
      <c r="I46" s="79"/>
      <c r="J46" s="2"/>
      <c r="K46" s="79"/>
      <c r="L46" s="77"/>
      <c r="M46" s="5"/>
      <c r="N46" s="5"/>
      <c r="Q46" s="5"/>
      <c r="S46" s="5"/>
      <c r="T46" s="5"/>
      <c r="U46" s="5"/>
      <c r="V46" s="5"/>
      <c r="Y46" s="5"/>
    </row>
    <row r="47" spans="1:26" x14ac:dyDescent="0.25">
      <c r="A47" s="57"/>
      <c r="B47" s="106" t="s">
        <v>73</v>
      </c>
      <c r="C47" s="79">
        <f>'BenchmarkIOMatrix-1995'!C40-'Alt4-NX'!C28</f>
        <v>163811.27406302246</v>
      </c>
      <c r="D47" s="79">
        <f>'BenchmarkIOMatrix-1995'!D40-'Alt4-NX'!D28</f>
        <v>230745.04179975923</v>
      </c>
      <c r="E47" s="79">
        <f>'BenchmarkIOMatrix-1995'!E40-'Alt4-NX'!E28</f>
        <v>-162531.13994571156</v>
      </c>
      <c r="F47" s="79">
        <f>'BenchmarkIOMatrix-1995'!F40-'Alt4-NX'!F28</f>
        <v>-232025.17591707077</v>
      </c>
      <c r="G47" s="79"/>
      <c r="H47" s="79"/>
      <c r="I47" s="79"/>
      <c r="J47" s="79"/>
      <c r="K47" s="79"/>
      <c r="L47" s="77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5">
      <c r="A48" s="57"/>
      <c r="B48" s="106" t="s">
        <v>156</v>
      </c>
      <c r="C48" s="79">
        <f>C45/(C45+C46)</f>
        <v>0.81643683047734128</v>
      </c>
      <c r="D48" s="79">
        <f t="shared" ref="D48:F48" si="9">D45/(D45+D46)</f>
        <v>0.76375947793917243</v>
      </c>
      <c r="E48" s="79">
        <f t="shared" si="9"/>
        <v>0.71119935428282532</v>
      </c>
      <c r="F48" s="79">
        <f t="shared" si="9"/>
        <v>0.76227379583833588</v>
      </c>
      <c r="G48" s="79"/>
      <c r="H48" s="79"/>
      <c r="I48" s="79"/>
      <c r="J48" s="79"/>
      <c r="K48" s="79"/>
      <c r="L48" s="7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30" x14ac:dyDescent="0.25">
      <c r="A49" s="57"/>
      <c r="B49" s="106" t="s">
        <v>156</v>
      </c>
      <c r="C49" s="79">
        <f>1-C48</f>
        <v>0.18356316952265872</v>
      </c>
      <c r="D49" s="79">
        <f t="shared" ref="D49:F49" si="10">1-D48</f>
        <v>0.23624052206082757</v>
      </c>
      <c r="E49" s="79">
        <f t="shared" si="10"/>
        <v>0.28880064571717468</v>
      </c>
      <c r="F49" s="79">
        <f t="shared" si="10"/>
        <v>0.23772620416166412</v>
      </c>
      <c r="G49" s="79"/>
      <c r="H49" s="79"/>
      <c r="I49" s="79"/>
      <c r="J49" s="79"/>
      <c r="K49" s="79"/>
      <c r="L49" s="77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30" x14ac:dyDescent="0.25">
      <c r="A50" s="57"/>
      <c r="B50" s="43" t="s">
        <v>154</v>
      </c>
      <c r="C50" s="2">
        <f>C45-C47*C48</f>
        <v>6006562.3612765204</v>
      </c>
      <c r="D50" s="2">
        <f t="shared" ref="D50:F50" si="11">D45-D47*D48</f>
        <v>10815909.606089959</v>
      </c>
      <c r="E50" s="2">
        <f t="shared" si="11"/>
        <v>2809512.3719472508</v>
      </c>
      <c r="F50" s="2">
        <f t="shared" si="11"/>
        <v>2812576.4585723621</v>
      </c>
      <c r="G50" s="2"/>
      <c r="H50" s="79"/>
      <c r="I50" s="79"/>
      <c r="J50" s="79"/>
      <c r="K50" s="2"/>
      <c r="L50" s="13"/>
      <c r="M50" s="5"/>
      <c r="N50" s="5"/>
      <c r="P50" s="5"/>
      <c r="Q50" s="5"/>
      <c r="R50" s="5"/>
      <c r="U50" s="5"/>
      <c r="V50" s="5"/>
      <c r="X50" s="5"/>
      <c r="Y50" s="5"/>
      <c r="Z50" s="5"/>
    </row>
    <row r="51" spans="1:30" x14ac:dyDescent="0.25">
      <c r="A51" s="57"/>
      <c r="B51" s="43" t="s">
        <v>155</v>
      </c>
      <c r="C51" s="2">
        <f>C46-C47*C49</f>
        <v>1350482.4669984358</v>
      </c>
      <c r="D51" s="2">
        <f t="shared" ref="D51:F51" si="12">D46-D47*D49</f>
        <v>3345498.4268082771</v>
      </c>
      <c r="E51" s="2">
        <f t="shared" si="12"/>
        <v>1140874.1898914727</v>
      </c>
      <c r="F51" s="2">
        <f t="shared" si="12"/>
        <v>877143.00171570654</v>
      </c>
      <c r="G51" s="2"/>
      <c r="H51" s="2"/>
      <c r="I51" s="2"/>
      <c r="J51" s="2"/>
      <c r="K51" s="2"/>
      <c r="L51" s="13"/>
    </row>
    <row r="52" spans="1:30" x14ac:dyDescent="0.25">
      <c r="A52" s="98"/>
      <c r="B52" s="106" t="s">
        <v>141</v>
      </c>
      <c r="C52" s="79">
        <f>C50-C41</f>
        <v>5772310.8773235064</v>
      </c>
      <c r="D52" s="79">
        <f t="shared" ref="D52:F52" si="13">D50-D41</f>
        <v>10498286.155263906</v>
      </c>
      <c r="E52" s="79">
        <f t="shared" si="13"/>
        <v>2702058.921441515</v>
      </c>
      <c r="F52" s="79">
        <f t="shared" si="13"/>
        <v>2654523.2114988854</v>
      </c>
      <c r="G52" s="79"/>
      <c r="H52" s="79"/>
      <c r="I52" s="79"/>
      <c r="J52" s="79"/>
      <c r="K52" s="79"/>
      <c r="L52" s="77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30" x14ac:dyDescent="0.25">
      <c r="A53" s="98"/>
      <c r="B53" s="106" t="s">
        <v>142</v>
      </c>
      <c r="C53" s="79">
        <f>C51-C42</f>
        <v>1172266.4564311651</v>
      </c>
      <c r="D53" s="79">
        <f t="shared" ref="D53:F53" si="14">D51-D42</f>
        <v>3229020.283202406</v>
      </c>
      <c r="E53" s="79">
        <f t="shared" si="14"/>
        <v>1041806.045461799</v>
      </c>
      <c r="F53" s="79">
        <f t="shared" si="14"/>
        <v>719146.06150379102</v>
      </c>
      <c r="G53" s="79"/>
      <c r="H53" s="79"/>
      <c r="I53" s="79"/>
      <c r="J53" s="79"/>
      <c r="K53" s="79"/>
      <c r="L53" s="77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30" x14ac:dyDescent="0.25">
      <c r="A54" s="108"/>
      <c r="B54" s="109"/>
      <c r="C54" s="110"/>
      <c r="D54" s="110"/>
      <c r="E54" s="110"/>
      <c r="F54" s="110"/>
      <c r="G54" s="110"/>
      <c r="H54" s="110"/>
      <c r="I54" s="110"/>
      <c r="J54" s="110"/>
      <c r="K54" s="110"/>
      <c r="L54" s="1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</row>
    <row r="56" spans="1:30" x14ac:dyDescent="0.25">
      <c r="A56" s="59" t="s">
        <v>84</v>
      </c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5"/>
    </row>
    <row r="57" spans="1:30" x14ac:dyDescent="0.25">
      <c r="A57" s="14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13"/>
    </row>
    <row r="58" spans="1:30" ht="15" customHeight="1" x14ac:dyDescent="0.25">
      <c r="A58" s="14"/>
      <c r="B58" s="2"/>
      <c r="C58" s="157" t="s">
        <v>26</v>
      </c>
      <c r="D58" s="158"/>
      <c r="E58" s="158"/>
      <c r="F58" s="158"/>
      <c r="G58" s="158"/>
      <c r="H58" s="158"/>
      <c r="I58" s="158"/>
      <c r="J58" s="159"/>
      <c r="K58" s="157" t="s">
        <v>5</v>
      </c>
      <c r="L58" s="158"/>
      <c r="M58" s="158"/>
      <c r="N58" s="158"/>
      <c r="O58" s="158"/>
      <c r="P58" s="158"/>
      <c r="Q58" s="158"/>
      <c r="R58" s="159"/>
      <c r="S58" s="157" t="s">
        <v>3</v>
      </c>
      <c r="T58" s="158"/>
      <c r="U58" s="158"/>
      <c r="V58" s="158"/>
      <c r="W58" s="158"/>
      <c r="X58" s="158"/>
      <c r="Y58" s="158"/>
      <c r="Z58" s="160"/>
      <c r="AA58" s="2"/>
      <c r="AB58" s="2"/>
      <c r="AC58" s="2"/>
      <c r="AD58" s="13"/>
    </row>
    <row r="59" spans="1:30" ht="15.75" thickBot="1" x14ac:dyDescent="0.3">
      <c r="A59" s="14"/>
      <c r="B59" s="2"/>
      <c r="C59" s="23" t="s">
        <v>14</v>
      </c>
      <c r="D59" s="24" t="s">
        <v>22</v>
      </c>
      <c r="E59" s="24" t="s">
        <v>15</v>
      </c>
      <c r="F59" s="24" t="s">
        <v>23</v>
      </c>
      <c r="G59" s="24" t="s">
        <v>16</v>
      </c>
      <c r="H59" s="24" t="s">
        <v>24</v>
      </c>
      <c r="I59" s="24" t="s">
        <v>17</v>
      </c>
      <c r="J59" s="25" t="s">
        <v>25</v>
      </c>
      <c r="K59" s="23" t="s">
        <v>14</v>
      </c>
      <c r="L59" s="24" t="s">
        <v>22</v>
      </c>
      <c r="M59" s="24" t="s">
        <v>15</v>
      </c>
      <c r="N59" s="24" t="s">
        <v>23</v>
      </c>
      <c r="O59" s="24" t="s">
        <v>16</v>
      </c>
      <c r="P59" s="24" t="s">
        <v>24</v>
      </c>
      <c r="Q59" s="24" t="s">
        <v>17</v>
      </c>
      <c r="R59" s="25" t="s">
        <v>25</v>
      </c>
      <c r="S59" s="23" t="s">
        <v>14</v>
      </c>
      <c r="T59" s="24" t="s">
        <v>22</v>
      </c>
      <c r="U59" s="24" t="s">
        <v>15</v>
      </c>
      <c r="V59" s="24" t="s">
        <v>23</v>
      </c>
      <c r="W59" s="24" t="s">
        <v>16</v>
      </c>
      <c r="X59" s="24" t="s">
        <v>24</v>
      </c>
      <c r="Y59" s="24" t="s">
        <v>17</v>
      </c>
      <c r="Z59" s="38" t="s">
        <v>25</v>
      </c>
      <c r="AA59" s="2"/>
      <c r="AB59" s="9" t="s">
        <v>75</v>
      </c>
      <c r="AC59" s="9" t="s">
        <v>39</v>
      </c>
      <c r="AD59" s="112" t="s">
        <v>76</v>
      </c>
    </row>
    <row r="60" spans="1:30" ht="15.75" thickTop="1" x14ac:dyDescent="0.25">
      <c r="A60" s="161" t="s">
        <v>43</v>
      </c>
      <c r="B60" s="22" t="s">
        <v>14</v>
      </c>
      <c r="C60" s="26">
        <v>19290223.449213341</v>
      </c>
      <c r="D60" s="27">
        <v>0</v>
      </c>
      <c r="E60" s="27">
        <v>0</v>
      </c>
      <c r="F60" s="27">
        <v>0</v>
      </c>
      <c r="G60" s="28">
        <v>0</v>
      </c>
      <c r="H60" s="28">
        <v>0</v>
      </c>
      <c r="I60" s="28">
        <v>0</v>
      </c>
      <c r="J60" s="29">
        <v>0</v>
      </c>
      <c r="K60" s="26">
        <v>5772310.8773235064</v>
      </c>
      <c r="L60" s="27">
        <v>0</v>
      </c>
      <c r="M60" s="27">
        <v>0</v>
      </c>
      <c r="N60" s="27">
        <v>0</v>
      </c>
      <c r="O60" s="28">
        <v>0</v>
      </c>
      <c r="P60" s="28">
        <v>0</v>
      </c>
      <c r="Q60" s="28">
        <v>0</v>
      </c>
      <c r="R60" s="29">
        <v>0</v>
      </c>
      <c r="S60" s="26">
        <v>1172266.4564311651</v>
      </c>
      <c r="T60" s="27">
        <v>0</v>
      </c>
      <c r="U60" s="27">
        <v>0</v>
      </c>
      <c r="V60" s="27">
        <v>0</v>
      </c>
      <c r="W60" s="28">
        <v>0</v>
      </c>
      <c r="X60" s="28">
        <v>0</v>
      </c>
      <c r="Y60" s="28">
        <v>0</v>
      </c>
      <c r="Z60" s="39">
        <v>0</v>
      </c>
      <c r="AA60" s="2"/>
      <c r="AB60" s="48">
        <f>SUM(C60:Z60)</f>
        <v>26234800.782968014</v>
      </c>
      <c r="AC60" s="48">
        <f t="shared" ref="AC60:AC68" si="15">AC7</f>
        <v>26234800.782966252</v>
      </c>
      <c r="AD60" s="52">
        <f>AC60-AB60</f>
        <v>-1.7620623111724854E-6</v>
      </c>
    </row>
    <row r="61" spans="1:30" x14ac:dyDescent="0.25">
      <c r="A61" s="161"/>
      <c r="B61" s="22" t="s">
        <v>18</v>
      </c>
      <c r="C61" s="26">
        <v>0</v>
      </c>
      <c r="D61" s="27">
        <v>0</v>
      </c>
      <c r="E61" s="27">
        <v>0</v>
      </c>
      <c r="F61" s="27">
        <v>219267.42022478289</v>
      </c>
      <c r="G61" s="30">
        <v>0</v>
      </c>
      <c r="H61" s="30">
        <v>76352.771208149716</v>
      </c>
      <c r="I61" s="30">
        <v>0</v>
      </c>
      <c r="J61" s="29">
        <v>166102.19755531597</v>
      </c>
      <c r="K61" s="26">
        <v>0</v>
      </c>
      <c r="L61" s="27">
        <v>0</v>
      </c>
      <c r="M61" s="27">
        <v>0</v>
      </c>
      <c r="N61" s="27">
        <v>77297.942748738133</v>
      </c>
      <c r="O61" s="30">
        <v>0</v>
      </c>
      <c r="P61" s="30">
        <v>19309.944331831146</v>
      </c>
      <c r="Q61" s="30">
        <v>0</v>
      </c>
      <c r="R61" s="29">
        <v>33024.299123352183</v>
      </c>
      <c r="S61" s="26">
        <v>0</v>
      </c>
      <c r="T61" s="27">
        <v>0</v>
      </c>
      <c r="U61" s="27">
        <v>0</v>
      </c>
      <c r="V61" s="27">
        <v>50876.64277877703</v>
      </c>
      <c r="W61" s="27">
        <v>0</v>
      </c>
      <c r="X61" s="27">
        <v>19376.567700371237</v>
      </c>
      <c r="Y61" s="27">
        <v>0</v>
      </c>
      <c r="Z61" s="39">
        <v>21711.889133327306</v>
      </c>
      <c r="AA61" s="2"/>
      <c r="AB61" s="48">
        <f t="shared" ref="AB61:AB68" si="16">SUM(C61:Z61)</f>
        <v>683319.67480464571</v>
      </c>
      <c r="AC61" s="48">
        <f t="shared" si="15"/>
        <v>683319.67480464571</v>
      </c>
      <c r="AD61" s="52">
        <f t="shared" ref="AD61:AD68" si="17">AC61-AB61</f>
        <v>0</v>
      </c>
    </row>
    <row r="62" spans="1:30" x14ac:dyDescent="0.25">
      <c r="A62" s="161"/>
      <c r="B62" s="22" t="s">
        <v>15</v>
      </c>
      <c r="C62" s="26">
        <v>0</v>
      </c>
      <c r="D62" s="27">
        <v>0</v>
      </c>
      <c r="E62" s="27">
        <v>34399420.055209301</v>
      </c>
      <c r="F62" s="27">
        <v>0</v>
      </c>
      <c r="G62" s="35">
        <v>0</v>
      </c>
      <c r="H62" s="35">
        <v>0</v>
      </c>
      <c r="I62" s="35">
        <v>0</v>
      </c>
      <c r="J62" s="36">
        <v>0</v>
      </c>
      <c r="K62" s="26">
        <v>0</v>
      </c>
      <c r="L62" s="27">
        <v>0</v>
      </c>
      <c r="M62" s="27">
        <v>10498286.155263906</v>
      </c>
      <c r="N62" s="27">
        <v>0</v>
      </c>
      <c r="O62" s="35">
        <v>0</v>
      </c>
      <c r="P62" s="35">
        <v>0</v>
      </c>
      <c r="Q62" s="35">
        <v>0</v>
      </c>
      <c r="R62" s="36">
        <v>0</v>
      </c>
      <c r="S62" s="26">
        <v>0</v>
      </c>
      <c r="T62" s="27">
        <v>0</v>
      </c>
      <c r="U62" s="27">
        <v>3229020.283202406</v>
      </c>
      <c r="V62" s="27">
        <v>0</v>
      </c>
      <c r="W62" s="35">
        <v>0</v>
      </c>
      <c r="X62" s="35">
        <v>0</v>
      </c>
      <c r="Y62" s="35">
        <v>0</v>
      </c>
      <c r="Z62" s="40">
        <v>0</v>
      </c>
      <c r="AA62" s="2"/>
      <c r="AB62" s="48">
        <f t="shared" si="16"/>
        <v>48126726.493675619</v>
      </c>
      <c r="AC62" s="48">
        <f t="shared" si="15"/>
        <v>48126726.493672557</v>
      </c>
      <c r="AD62" s="52">
        <f t="shared" si="17"/>
        <v>-3.0621886253356934E-6</v>
      </c>
    </row>
    <row r="63" spans="1:30" x14ac:dyDescent="0.25">
      <c r="A63" s="161"/>
      <c r="B63" s="22" t="s">
        <v>19</v>
      </c>
      <c r="C63" s="26">
        <v>0</v>
      </c>
      <c r="D63" s="27">
        <v>268956.89779693529</v>
      </c>
      <c r="E63" s="27">
        <v>0</v>
      </c>
      <c r="F63" s="27">
        <v>0</v>
      </c>
      <c r="G63" s="27">
        <v>0</v>
      </c>
      <c r="H63" s="27">
        <v>205632.20062837825</v>
      </c>
      <c r="I63" s="27">
        <v>0</v>
      </c>
      <c r="J63" s="37">
        <v>353708.71259574831</v>
      </c>
      <c r="K63" s="26">
        <v>0</v>
      </c>
      <c r="L63" s="27">
        <v>97712.554806222848</v>
      </c>
      <c r="M63" s="27">
        <v>0</v>
      </c>
      <c r="N63" s="27">
        <v>0</v>
      </c>
      <c r="O63" s="27">
        <v>0</v>
      </c>
      <c r="P63" s="27">
        <v>61513.074979744473</v>
      </c>
      <c r="Q63" s="27">
        <v>0</v>
      </c>
      <c r="R63" s="37">
        <v>97696.775295639512</v>
      </c>
      <c r="S63" s="26">
        <v>0</v>
      </c>
      <c r="T63" s="27">
        <v>114945.63951855595</v>
      </c>
      <c r="U63" s="27">
        <v>0</v>
      </c>
      <c r="V63" s="27">
        <v>0</v>
      </c>
      <c r="W63" s="27">
        <v>0</v>
      </c>
      <c r="X63" s="27">
        <v>70624.910891780703</v>
      </c>
      <c r="Y63" s="27">
        <v>0</v>
      </c>
      <c r="Z63" s="39">
        <v>111134.10248030361</v>
      </c>
      <c r="AA63" s="2"/>
      <c r="AB63" s="48">
        <f t="shared" si="16"/>
        <v>1381924.8689933089</v>
      </c>
      <c r="AC63" s="48">
        <f t="shared" si="15"/>
        <v>1381924.8689933089</v>
      </c>
      <c r="AD63" s="52">
        <f t="shared" si="17"/>
        <v>0</v>
      </c>
    </row>
    <row r="64" spans="1:30" x14ac:dyDescent="0.25">
      <c r="A64" s="161"/>
      <c r="B64" s="78" t="s">
        <v>16</v>
      </c>
      <c r="C64" s="26">
        <v>0</v>
      </c>
      <c r="D64" s="27">
        <v>0</v>
      </c>
      <c r="E64" s="27">
        <v>0</v>
      </c>
      <c r="F64" s="27">
        <v>0</v>
      </c>
      <c r="G64" s="27">
        <v>38673281.975603566</v>
      </c>
      <c r="H64" s="27">
        <v>0</v>
      </c>
      <c r="I64" s="27">
        <v>0</v>
      </c>
      <c r="J64" s="37">
        <v>0</v>
      </c>
      <c r="K64" s="26">
        <v>0</v>
      </c>
      <c r="L64" s="27">
        <v>0</v>
      </c>
      <c r="M64" s="27">
        <v>0</v>
      </c>
      <c r="N64" s="27">
        <v>0</v>
      </c>
      <c r="O64" s="27">
        <v>2702058.921441515</v>
      </c>
      <c r="P64" s="27">
        <v>0</v>
      </c>
      <c r="Q64" s="27">
        <v>0</v>
      </c>
      <c r="R64" s="37">
        <v>0</v>
      </c>
      <c r="S64" s="26">
        <v>0</v>
      </c>
      <c r="T64" s="27">
        <v>0</v>
      </c>
      <c r="U64" s="27">
        <v>0</v>
      </c>
      <c r="V64" s="27">
        <v>0</v>
      </c>
      <c r="W64" s="27">
        <v>1041806.045461799</v>
      </c>
      <c r="X64" s="27">
        <v>0</v>
      </c>
      <c r="Y64" s="27">
        <v>0</v>
      </c>
      <c r="Z64" s="39">
        <v>0</v>
      </c>
      <c r="AA64" s="2"/>
      <c r="AB64" s="48">
        <f t="shared" si="16"/>
        <v>42417146.94250688</v>
      </c>
      <c r="AC64" s="48">
        <f t="shared" si="15"/>
        <v>42417146.942515232</v>
      </c>
      <c r="AD64" s="52">
        <f t="shared" si="17"/>
        <v>8.3521008491516113E-6</v>
      </c>
    </row>
    <row r="65" spans="1:30" x14ac:dyDescent="0.25">
      <c r="A65" s="161"/>
      <c r="B65" s="78" t="s">
        <v>20</v>
      </c>
      <c r="C65" s="26">
        <v>0</v>
      </c>
      <c r="D65" s="27">
        <v>109923.4648906542</v>
      </c>
      <c r="E65" s="27">
        <v>0</v>
      </c>
      <c r="F65" s="27">
        <v>267042.04439517303</v>
      </c>
      <c r="G65" s="27">
        <v>0</v>
      </c>
      <c r="H65" s="27">
        <v>0</v>
      </c>
      <c r="I65" s="27">
        <v>0</v>
      </c>
      <c r="J65" s="37">
        <v>107063.4936384732</v>
      </c>
      <c r="K65" s="26">
        <v>0</v>
      </c>
      <c r="L65" s="27">
        <v>79366.956008119305</v>
      </c>
      <c r="M65" s="27">
        <v>0</v>
      </c>
      <c r="N65" s="27">
        <v>134309.56074395243</v>
      </c>
      <c r="O65" s="27">
        <v>0</v>
      </c>
      <c r="P65" s="27">
        <v>0</v>
      </c>
      <c r="Q65" s="27">
        <v>0</v>
      </c>
      <c r="R65" s="37">
        <v>27332.172654485039</v>
      </c>
      <c r="S65" s="26">
        <v>0</v>
      </c>
      <c r="T65" s="27">
        <v>36012.379451174376</v>
      </c>
      <c r="U65" s="27">
        <v>0</v>
      </c>
      <c r="V65" s="27">
        <v>33840.857634243199</v>
      </c>
      <c r="W65" s="27">
        <v>0</v>
      </c>
      <c r="X65" s="27">
        <v>0</v>
      </c>
      <c r="Y65" s="27">
        <v>0</v>
      </c>
      <c r="Z65" s="39">
        <v>25150.948598284554</v>
      </c>
      <c r="AA65" s="2"/>
      <c r="AB65" s="48">
        <f t="shared" si="16"/>
        <v>820041.87801455939</v>
      </c>
      <c r="AC65" s="48">
        <f t="shared" si="15"/>
        <v>820041.87801455939</v>
      </c>
      <c r="AD65" s="52">
        <f t="shared" si="17"/>
        <v>0</v>
      </c>
    </row>
    <row r="66" spans="1:30" x14ac:dyDescent="0.25">
      <c r="A66" s="161"/>
      <c r="B66" s="78" t="s">
        <v>17</v>
      </c>
      <c r="C66" s="26">
        <v>0</v>
      </c>
      <c r="D66" s="27">
        <v>0</v>
      </c>
      <c r="E66" s="27">
        <v>0</v>
      </c>
      <c r="F66" s="27">
        <v>0</v>
      </c>
      <c r="G66" s="27">
        <v>0</v>
      </c>
      <c r="H66" s="27">
        <v>0</v>
      </c>
      <c r="I66" s="27">
        <v>17912936.89506812</v>
      </c>
      <c r="J66" s="37">
        <v>0</v>
      </c>
      <c r="K66" s="26">
        <v>0</v>
      </c>
      <c r="L66" s="27">
        <v>0</v>
      </c>
      <c r="M66" s="27">
        <v>0</v>
      </c>
      <c r="N66" s="27">
        <v>0</v>
      </c>
      <c r="O66" s="27">
        <v>0</v>
      </c>
      <c r="P66" s="27">
        <v>0</v>
      </c>
      <c r="Q66" s="27">
        <v>2654523.2114988854</v>
      </c>
      <c r="R66" s="37">
        <v>0</v>
      </c>
      <c r="S66" s="26">
        <v>0</v>
      </c>
      <c r="T66" s="27">
        <v>0</v>
      </c>
      <c r="U66" s="27">
        <v>0</v>
      </c>
      <c r="V66" s="27">
        <v>0</v>
      </c>
      <c r="W66" s="27">
        <v>0</v>
      </c>
      <c r="X66" s="27">
        <v>0</v>
      </c>
      <c r="Y66" s="27">
        <v>719146.06150379102</v>
      </c>
      <c r="Z66" s="39">
        <v>0</v>
      </c>
      <c r="AA66" s="2"/>
      <c r="AB66" s="48">
        <f t="shared" si="16"/>
        <v>21286606.168070797</v>
      </c>
      <c r="AC66" s="48">
        <f t="shared" si="15"/>
        <v>21286606.168068167</v>
      </c>
      <c r="AD66" s="52">
        <f t="shared" si="17"/>
        <v>-2.6300549507141113E-6</v>
      </c>
    </row>
    <row r="67" spans="1:30" x14ac:dyDescent="0.25">
      <c r="A67" s="161"/>
      <c r="B67" s="78" t="s">
        <v>21</v>
      </c>
      <c r="C67" s="26">
        <v>0</v>
      </c>
      <c r="D67" s="27">
        <v>126810.60480390834</v>
      </c>
      <c r="E67" s="27">
        <v>0</v>
      </c>
      <c r="F67" s="27">
        <v>321141.01891047455</v>
      </c>
      <c r="G67" s="30">
        <v>0</v>
      </c>
      <c r="H67" s="30">
        <v>111462.11745126663</v>
      </c>
      <c r="I67" s="30">
        <v>0</v>
      </c>
      <c r="J67" s="29">
        <v>0</v>
      </c>
      <c r="K67" s="26">
        <v>0</v>
      </c>
      <c r="L67" s="27">
        <v>57171.973138672074</v>
      </c>
      <c r="M67" s="27">
        <v>0</v>
      </c>
      <c r="N67" s="27">
        <v>106015.94733336166</v>
      </c>
      <c r="O67" s="27">
        <v>0</v>
      </c>
      <c r="P67" s="27">
        <v>26630.43119416021</v>
      </c>
      <c r="Q67" s="27">
        <v>0</v>
      </c>
      <c r="R67" s="37">
        <v>0</v>
      </c>
      <c r="S67" s="26">
        <v>0</v>
      </c>
      <c r="T67" s="27">
        <v>27257.991597540429</v>
      </c>
      <c r="U67" s="27">
        <v>0</v>
      </c>
      <c r="V67" s="27">
        <v>31760.643192850701</v>
      </c>
      <c r="W67" s="27">
        <v>0</v>
      </c>
      <c r="X67" s="27">
        <v>9066.6658375216812</v>
      </c>
      <c r="Y67" s="27">
        <v>0</v>
      </c>
      <c r="Z67" s="39">
        <v>0</v>
      </c>
      <c r="AA67" s="2"/>
      <c r="AB67" s="48">
        <f t="shared" si="16"/>
        <v>817317.39345975628</v>
      </c>
      <c r="AC67" s="48">
        <f t="shared" si="15"/>
        <v>817317.39345975628</v>
      </c>
      <c r="AD67" s="52">
        <f t="shared" si="17"/>
        <v>0</v>
      </c>
    </row>
    <row r="68" spans="1:30" x14ac:dyDescent="0.25">
      <c r="A68" s="14"/>
      <c r="B68" s="7" t="s">
        <v>2</v>
      </c>
      <c r="C68" s="31">
        <v>7122206.041066057</v>
      </c>
      <c r="D68" s="32">
        <v>0</v>
      </c>
      <c r="E68" s="32">
        <v>14301780.823926141</v>
      </c>
      <c r="F68" s="32">
        <v>0</v>
      </c>
      <c r="G68" s="33">
        <v>4170459.7556384266</v>
      </c>
      <c r="H68" s="33">
        <v>0</v>
      </c>
      <c r="I68" s="33">
        <v>3564112.2626702674</v>
      </c>
      <c r="J68" s="34">
        <v>0</v>
      </c>
      <c r="K68" s="31">
        <v>0</v>
      </c>
      <c r="L68" s="32">
        <v>0</v>
      </c>
      <c r="M68" s="32">
        <v>0</v>
      </c>
      <c r="N68" s="32">
        <v>0</v>
      </c>
      <c r="O68" s="33">
        <v>0</v>
      </c>
      <c r="P68" s="33">
        <v>0</v>
      </c>
      <c r="Q68" s="33">
        <v>0</v>
      </c>
      <c r="R68" s="34">
        <v>0</v>
      </c>
      <c r="S68" s="31">
        <v>0</v>
      </c>
      <c r="T68" s="32">
        <v>0</v>
      </c>
      <c r="U68" s="32">
        <v>0</v>
      </c>
      <c r="V68" s="32">
        <v>0</v>
      </c>
      <c r="W68" s="32">
        <v>0</v>
      </c>
      <c r="X68" s="32">
        <v>0</v>
      </c>
      <c r="Y68" s="32">
        <v>0</v>
      </c>
      <c r="Z68" s="41">
        <v>0</v>
      </c>
      <c r="AA68" s="2"/>
      <c r="AB68" s="48">
        <f t="shared" si="16"/>
        <v>29158558.883300893</v>
      </c>
      <c r="AC68" s="48">
        <f t="shared" si="15"/>
        <v>29158558.883299947</v>
      </c>
      <c r="AD68" s="52">
        <f t="shared" si="17"/>
        <v>-9.4622373580932617E-7</v>
      </c>
    </row>
    <row r="69" spans="1:30" x14ac:dyDescent="0.25">
      <c r="A69" s="57"/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  <c r="P69" s="79"/>
      <c r="Q69" s="79"/>
      <c r="R69" s="79"/>
      <c r="S69" s="79"/>
      <c r="T69" s="79"/>
      <c r="U69" s="79"/>
      <c r="V69" s="79"/>
      <c r="W69" s="79"/>
      <c r="X69" s="79"/>
      <c r="Y69" s="79"/>
      <c r="Z69" s="79"/>
      <c r="AA69" s="2"/>
      <c r="AB69" s="60">
        <f>SUM(AB60:AB68)</f>
        <v>170926443.08579451</v>
      </c>
      <c r="AC69" s="60">
        <f>SUM(AC60:AC68)</f>
        <v>170926443.08579445</v>
      </c>
      <c r="AD69" s="13"/>
    </row>
    <row r="70" spans="1:30" x14ac:dyDescent="0.25">
      <c r="A70" s="57"/>
      <c r="B70" s="80" t="s">
        <v>74</v>
      </c>
      <c r="C70" s="79">
        <f>SUM(C60:C68)</f>
        <v>26412429.490279399</v>
      </c>
      <c r="D70" s="79">
        <f t="shared" ref="D70:Z70" si="18">SUM(D60:D68)</f>
        <v>505690.96749149781</v>
      </c>
      <c r="E70" s="79">
        <f t="shared" si="18"/>
        <v>48701200.879135445</v>
      </c>
      <c r="F70" s="79">
        <f t="shared" si="18"/>
        <v>807450.48353043047</v>
      </c>
      <c r="G70" s="79">
        <f t="shared" si="18"/>
        <v>42843741.731241994</v>
      </c>
      <c r="H70" s="79">
        <f t="shared" si="18"/>
        <v>393447.0892877946</v>
      </c>
      <c r="I70" s="79">
        <f t="shared" si="18"/>
        <v>21477049.157738388</v>
      </c>
      <c r="J70" s="79">
        <f t="shared" si="18"/>
        <v>626874.40378953749</v>
      </c>
      <c r="K70" s="79">
        <f t="shared" si="18"/>
        <v>5772310.8773235064</v>
      </c>
      <c r="L70" s="79">
        <f t="shared" si="18"/>
        <v>234251.48395301422</v>
      </c>
      <c r="M70" s="79">
        <f t="shared" si="18"/>
        <v>10498286.155263906</v>
      </c>
      <c r="N70" s="79">
        <f t="shared" si="18"/>
        <v>317623.45082605223</v>
      </c>
      <c r="O70" s="79">
        <f t="shared" si="18"/>
        <v>2702058.921441515</v>
      </c>
      <c r="P70" s="79">
        <f t="shared" si="18"/>
        <v>107453.45050573583</v>
      </c>
      <c r="Q70" s="79">
        <f t="shared" si="18"/>
        <v>2654523.2114988854</v>
      </c>
      <c r="R70" s="79">
        <f t="shared" si="18"/>
        <v>158053.24707347673</v>
      </c>
      <c r="S70" s="79">
        <f t="shared" si="18"/>
        <v>1172266.4564311651</v>
      </c>
      <c r="T70" s="79">
        <f t="shared" si="18"/>
        <v>178216.01056727074</v>
      </c>
      <c r="U70" s="79">
        <f t="shared" si="18"/>
        <v>3229020.283202406</v>
      </c>
      <c r="V70" s="79">
        <f t="shared" si="18"/>
        <v>116478.14360587092</v>
      </c>
      <c r="W70" s="79">
        <f t="shared" si="18"/>
        <v>1041806.045461799</v>
      </c>
      <c r="X70" s="79">
        <f t="shared" si="18"/>
        <v>99068.144429673615</v>
      </c>
      <c r="Y70" s="79">
        <f t="shared" si="18"/>
        <v>719146.06150379102</v>
      </c>
      <c r="Z70" s="79">
        <f t="shared" si="18"/>
        <v>157996.94021191547</v>
      </c>
      <c r="AA70" s="80">
        <f>SUM(C70:Z70)</f>
        <v>170926443.08579451</v>
      </c>
      <c r="AB70" s="2"/>
      <c r="AC70" s="2"/>
      <c r="AD70" s="13"/>
    </row>
    <row r="71" spans="1:30" x14ac:dyDescent="0.25">
      <c r="A71" s="57"/>
      <c r="B71" s="80" t="s">
        <v>40</v>
      </c>
      <c r="C71" s="79">
        <f>C18</f>
        <v>26412429.490279403</v>
      </c>
      <c r="D71" s="79">
        <f t="shared" ref="D71:Z71" si="19">D18</f>
        <v>505690.96749149781</v>
      </c>
      <c r="E71" s="79">
        <f t="shared" si="19"/>
        <v>48701200.879135437</v>
      </c>
      <c r="F71" s="79">
        <f t="shared" si="19"/>
        <v>807450.48353043047</v>
      </c>
      <c r="G71" s="79">
        <f t="shared" si="19"/>
        <v>42843741.731241994</v>
      </c>
      <c r="H71" s="79">
        <f t="shared" si="19"/>
        <v>393447.0892877946</v>
      </c>
      <c r="I71" s="79">
        <f t="shared" si="19"/>
        <v>21477049.157738384</v>
      </c>
      <c r="J71" s="79">
        <f t="shared" si="19"/>
        <v>626874.40378953749</v>
      </c>
      <c r="K71" s="79">
        <f t="shared" si="19"/>
        <v>5772310.8773235064</v>
      </c>
      <c r="L71" s="79">
        <f t="shared" si="19"/>
        <v>234251.48395301422</v>
      </c>
      <c r="M71" s="79">
        <f t="shared" si="19"/>
        <v>10498286.155263906</v>
      </c>
      <c r="N71" s="79">
        <f t="shared" si="19"/>
        <v>317623.45082605217</v>
      </c>
      <c r="O71" s="79">
        <f t="shared" si="19"/>
        <v>2702058.921441515</v>
      </c>
      <c r="P71" s="79">
        <f t="shared" si="19"/>
        <v>107453.45050573583</v>
      </c>
      <c r="Q71" s="79">
        <f t="shared" si="19"/>
        <v>2654523.2114988854</v>
      </c>
      <c r="R71" s="79">
        <f t="shared" si="19"/>
        <v>158053.24707347673</v>
      </c>
      <c r="S71" s="79">
        <f t="shared" si="19"/>
        <v>1172266.4564311651</v>
      </c>
      <c r="T71" s="79">
        <f t="shared" si="19"/>
        <v>178216.01056727074</v>
      </c>
      <c r="U71" s="79">
        <f t="shared" si="19"/>
        <v>3229020.283202406</v>
      </c>
      <c r="V71" s="79">
        <f t="shared" si="19"/>
        <v>116478.14360587092</v>
      </c>
      <c r="W71" s="79">
        <f t="shared" si="19"/>
        <v>1041806.045461799</v>
      </c>
      <c r="X71" s="79">
        <f t="shared" si="19"/>
        <v>99068.144429673615</v>
      </c>
      <c r="Y71" s="79">
        <f t="shared" si="19"/>
        <v>719146.06150379102</v>
      </c>
      <c r="Z71" s="79">
        <f t="shared" si="19"/>
        <v>157996.94021191547</v>
      </c>
      <c r="AA71" s="80">
        <f>SUM(C71:Z71)</f>
        <v>170926443.08579451</v>
      </c>
      <c r="AB71" s="2"/>
      <c r="AC71" s="2"/>
      <c r="AD71" s="13"/>
    </row>
    <row r="72" spans="1:30" x14ac:dyDescent="0.25">
      <c r="A72" s="14"/>
      <c r="B72" s="7" t="s">
        <v>76</v>
      </c>
      <c r="C72" s="79">
        <f>C71-C71</f>
        <v>0</v>
      </c>
      <c r="D72" s="79">
        <f t="shared" ref="D72:Z72" si="20">D71-D71</f>
        <v>0</v>
      </c>
      <c r="E72" s="79">
        <f t="shared" si="20"/>
        <v>0</v>
      </c>
      <c r="F72" s="79">
        <f t="shared" si="20"/>
        <v>0</v>
      </c>
      <c r="G72" s="79">
        <f t="shared" si="20"/>
        <v>0</v>
      </c>
      <c r="H72" s="79">
        <f t="shared" si="20"/>
        <v>0</v>
      </c>
      <c r="I72" s="79">
        <f t="shared" si="20"/>
        <v>0</v>
      </c>
      <c r="J72" s="79">
        <f t="shared" si="20"/>
        <v>0</v>
      </c>
      <c r="K72" s="79">
        <f t="shared" si="20"/>
        <v>0</v>
      </c>
      <c r="L72" s="79">
        <f t="shared" si="20"/>
        <v>0</v>
      </c>
      <c r="M72" s="79">
        <f t="shared" si="20"/>
        <v>0</v>
      </c>
      <c r="N72" s="79">
        <f t="shared" si="20"/>
        <v>0</v>
      </c>
      <c r="O72" s="79">
        <f t="shared" si="20"/>
        <v>0</v>
      </c>
      <c r="P72" s="79">
        <f t="shared" si="20"/>
        <v>0</v>
      </c>
      <c r="Q72" s="79">
        <f t="shared" si="20"/>
        <v>0</v>
      </c>
      <c r="R72" s="79">
        <f t="shared" si="20"/>
        <v>0</v>
      </c>
      <c r="S72" s="79">
        <f t="shared" si="20"/>
        <v>0</v>
      </c>
      <c r="T72" s="79">
        <f t="shared" si="20"/>
        <v>0</v>
      </c>
      <c r="U72" s="79">
        <f t="shared" si="20"/>
        <v>0</v>
      </c>
      <c r="V72" s="79">
        <f t="shared" si="20"/>
        <v>0</v>
      </c>
      <c r="W72" s="79">
        <f t="shared" si="20"/>
        <v>0</v>
      </c>
      <c r="X72" s="79">
        <f t="shared" si="20"/>
        <v>0</v>
      </c>
      <c r="Y72" s="79">
        <f t="shared" si="20"/>
        <v>0</v>
      </c>
      <c r="Z72" s="79">
        <f t="shared" si="20"/>
        <v>0</v>
      </c>
      <c r="AA72" s="2"/>
      <c r="AB72" s="2"/>
      <c r="AC72" s="2"/>
      <c r="AD72" s="13"/>
    </row>
    <row r="73" spans="1:30" x14ac:dyDescent="0.25">
      <c r="A73" s="19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1"/>
    </row>
    <row r="75" spans="1:30" x14ac:dyDescent="0.25">
      <c r="A75" s="59" t="s">
        <v>85</v>
      </c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5"/>
    </row>
    <row r="76" spans="1:30" x14ac:dyDescent="0.25">
      <c r="A76" s="14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13"/>
    </row>
    <row r="77" spans="1:30" x14ac:dyDescent="0.25">
      <c r="A77" s="14"/>
      <c r="B77" s="2"/>
      <c r="C77" s="152" t="s">
        <v>11</v>
      </c>
      <c r="D77" s="152"/>
      <c r="E77" s="152"/>
      <c r="F77" s="152"/>
      <c r="G77" s="152"/>
      <c r="H77" s="152"/>
      <c r="I77" s="152"/>
      <c r="J77" s="152"/>
      <c r="K77" s="152"/>
      <c r="L77" s="152"/>
      <c r="M77" s="152"/>
      <c r="N77" s="152"/>
      <c r="O77" s="2"/>
      <c r="P77" s="7" t="s">
        <v>13</v>
      </c>
      <c r="Q77" s="2"/>
      <c r="R77" s="13"/>
    </row>
    <row r="78" spans="1:30" x14ac:dyDescent="0.25">
      <c r="A78" s="14"/>
      <c r="B78" s="2"/>
      <c r="C78" s="151" t="s">
        <v>1</v>
      </c>
      <c r="D78" s="152"/>
      <c r="E78" s="152"/>
      <c r="F78" s="153"/>
      <c r="G78" s="152" t="s">
        <v>5</v>
      </c>
      <c r="H78" s="152"/>
      <c r="I78" s="152"/>
      <c r="J78" s="153"/>
      <c r="K78" s="154" t="s">
        <v>3</v>
      </c>
      <c r="L78" s="152"/>
      <c r="M78" s="152"/>
      <c r="N78" s="155"/>
      <c r="O78" s="2"/>
      <c r="P78" s="2"/>
      <c r="Q78" s="2"/>
      <c r="R78" s="13"/>
    </row>
    <row r="79" spans="1:30" ht="15.75" thickBot="1" x14ac:dyDescent="0.3">
      <c r="A79" s="14"/>
      <c r="B79" s="2"/>
      <c r="C79" s="15" t="s">
        <v>7</v>
      </c>
      <c r="D79" s="16" t="s">
        <v>8</v>
      </c>
      <c r="E79" s="16" t="s">
        <v>9</v>
      </c>
      <c r="F79" s="17" t="s">
        <v>0</v>
      </c>
      <c r="G79" s="16" t="s">
        <v>7</v>
      </c>
      <c r="H79" s="16" t="s">
        <v>8</v>
      </c>
      <c r="I79" s="16" t="s">
        <v>9</v>
      </c>
      <c r="J79" s="17" t="s">
        <v>0</v>
      </c>
      <c r="K79" s="16" t="s">
        <v>7</v>
      </c>
      <c r="L79" s="16" t="s">
        <v>8</v>
      </c>
      <c r="M79" s="16" t="s">
        <v>9</v>
      </c>
      <c r="N79" s="18" t="s">
        <v>0</v>
      </c>
      <c r="O79" s="2"/>
      <c r="P79" s="2"/>
      <c r="Q79" s="2"/>
      <c r="R79" s="13"/>
    </row>
    <row r="80" spans="1:30" ht="15.75" thickTop="1" x14ac:dyDescent="0.25">
      <c r="A80" s="150" t="s">
        <v>10</v>
      </c>
      <c r="B80" s="7" t="s">
        <v>7</v>
      </c>
      <c r="C80" s="46">
        <f>SUM(C60:D61)</f>
        <v>19290223.449213341</v>
      </c>
      <c r="D80" s="48">
        <f>SUM(E60:F61)</f>
        <v>219267.42022478289</v>
      </c>
      <c r="E80" s="48">
        <f>SUM(G60:H61)</f>
        <v>76352.771208149716</v>
      </c>
      <c r="F80" s="50">
        <f>SUM(I60:J61)</f>
        <v>166102.19755531597</v>
      </c>
      <c r="G80" s="48">
        <f>SUM(K60:L61)</f>
        <v>5772310.8773235064</v>
      </c>
      <c r="H80" s="48">
        <f>SUM(M60:N61)</f>
        <v>77297.942748738133</v>
      </c>
      <c r="I80" s="48">
        <f>SUM(O60:P61)</f>
        <v>19309.944331831146</v>
      </c>
      <c r="J80" s="50">
        <f>SUM(Q60:R61)</f>
        <v>33024.299123352183</v>
      </c>
      <c r="K80" s="48">
        <f>SUM(S60:T61)</f>
        <v>1172266.4564311651</v>
      </c>
      <c r="L80" s="48">
        <f>SUM(U60:V61)</f>
        <v>50876.64277877703</v>
      </c>
      <c r="M80" s="48">
        <f>SUM(W60:X61)</f>
        <v>19376.567700371237</v>
      </c>
      <c r="N80" s="52">
        <f>SUM(Y60:Z61)</f>
        <v>21711.889133327306</v>
      </c>
      <c r="O80" s="2"/>
      <c r="P80" s="2">
        <f>SUM(C80:N80)</f>
        <v>26918120.45777265</v>
      </c>
      <c r="Q80" s="2"/>
      <c r="R80" s="13"/>
    </row>
    <row r="81" spans="1:18" x14ac:dyDescent="0.25">
      <c r="A81" s="150"/>
      <c r="B81" s="7" t="s">
        <v>8</v>
      </c>
      <c r="C81" s="46">
        <f>SUM(C62:D63)</f>
        <v>268956.89779693529</v>
      </c>
      <c r="D81" s="48">
        <f>SUM(E62:F63)</f>
        <v>34399420.055209301</v>
      </c>
      <c r="E81" s="48">
        <f>SUM(G62:H63)</f>
        <v>205632.20062837825</v>
      </c>
      <c r="F81" s="50">
        <f>SUM(I62:J63)</f>
        <v>353708.71259574831</v>
      </c>
      <c r="G81" s="48">
        <f>SUM(K62:L63)</f>
        <v>97712.554806222848</v>
      </c>
      <c r="H81" s="48">
        <f>SUM(M62:N63)</f>
        <v>10498286.155263906</v>
      </c>
      <c r="I81" s="48">
        <f>SUM(O62:P63)</f>
        <v>61513.074979744473</v>
      </c>
      <c r="J81" s="50">
        <f>SUM(Q62:R63)</f>
        <v>97696.775295639512</v>
      </c>
      <c r="K81" s="48">
        <f>SUM(S62:T63)</f>
        <v>114945.63951855595</v>
      </c>
      <c r="L81" s="48">
        <f>SUM(U62:V63)</f>
        <v>3229020.283202406</v>
      </c>
      <c r="M81" s="48">
        <f>SUM(W62:X63)</f>
        <v>70624.910891780703</v>
      </c>
      <c r="N81" s="52">
        <f>SUM(Y62:Z63)</f>
        <v>111134.10248030361</v>
      </c>
      <c r="O81" s="2"/>
      <c r="P81" s="2">
        <f t="shared" ref="P81:P84" si="21">SUM(C81:N81)</f>
        <v>49508651.362668924</v>
      </c>
      <c r="Q81" s="2"/>
      <c r="R81" s="13"/>
    </row>
    <row r="82" spans="1:18" x14ac:dyDescent="0.25">
      <c r="A82" s="150"/>
      <c r="B82" s="7" t="s">
        <v>9</v>
      </c>
      <c r="C82" s="46">
        <f>SUM(C64:D65)</f>
        <v>109923.4648906542</v>
      </c>
      <c r="D82" s="48">
        <f>SUM(E64:F65)</f>
        <v>267042.04439517303</v>
      </c>
      <c r="E82" s="48">
        <f>SUM(G64:H65)</f>
        <v>38673281.975603566</v>
      </c>
      <c r="F82" s="50">
        <f>SUM(I64:J65)</f>
        <v>107063.4936384732</v>
      </c>
      <c r="G82" s="48">
        <f>SUM(K64:L65)</f>
        <v>79366.956008119305</v>
      </c>
      <c r="H82" s="48">
        <f>SUM(M65:N66)</f>
        <v>134309.56074395243</v>
      </c>
      <c r="I82" s="48">
        <f>SUM(O64:P65)</f>
        <v>2702058.921441515</v>
      </c>
      <c r="J82" s="50">
        <f>SUM(Q64:R65)</f>
        <v>27332.172654485039</v>
      </c>
      <c r="K82" s="48">
        <f>SUM(S64:T65)</f>
        <v>36012.379451174376</v>
      </c>
      <c r="L82" s="48">
        <f>SUM(U64:V65)</f>
        <v>33840.857634243199</v>
      </c>
      <c r="M82" s="48">
        <f>SUM(W64:X65)</f>
        <v>1041806.045461799</v>
      </c>
      <c r="N82" s="52">
        <f>SUM(Y64:Z65)</f>
        <v>25150.948598284554</v>
      </c>
      <c r="O82" s="2"/>
      <c r="P82" s="2">
        <f t="shared" si="21"/>
        <v>43237188.820521452</v>
      </c>
      <c r="Q82" s="2"/>
      <c r="R82" s="13"/>
    </row>
    <row r="83" spans="1:18" x14ac:dyDescent="0.25">
      <c r="A83" s="150"/>
      <c r="B83" s="7" t="s">
        <v>0</v>
      </c>
      <c r="C83" s="46">
        <f>SUM(C66:D67)</f>
        <v>126810.60480390834</v>
      </c>
      <c r="D83" s="48">
        <f>SUM(E66:F67)</f>
        <v>321141.01891047455</v>
      </c>
      <c r="E83" s="48">
        <f>SUM(G66:H67)</f>
        <v>111462.11745126663</v>
      </c>
      <c r="F83" s="50">
        <f>SUM(I66:J67)</f>
        <v>17912936.89506812</v>
      </c>
      <c r="G83" s="48">
        <f>SUM(K66:L67)</f>
        <v>57171.973138672074</v>
      </c>
      <c r="H83" s="48">
        <f>SUM(M66:N67)</f>
        <v>106015.94733336166</v>
      </c>
      <c r="I83" s="48">
        <f>SUM(O66:P67)</f>
        <v>26630.43119416021</v>
      </c>
      <c r="J83" s="50">
        <f>SUM(Q66:R67)</f>
        <v>2654523.2114988854</v>
      </c>
      <c r="K83" s="48">
        <f>SUM(S66:T67)</f>
        <v>27257.991597540429</v>
      </c>
      <c r="L83" s="48">
        <f>SUM(U66:V67)</f>
        <v>31760.643192850701</v>
      </c>
      <c r="M83" s="48">
        <f>SUM(W66:X67)</f>
        <v>9066.6658375216812</v>
      </c>
      <c r="N83" s="52">
        <f>SUM(Y66:Z67)</f>
        <v>719146.06150379102</v>
      </c>
      <c r="O83" s="2"/>
      <c r="P83" s="2">
        <f t="shared" si="21"/>
        <v>22103923.561530553</v>
      </c>
      <c r="Q83" s="2"/>
      <c r="R83" s="13"/>
    </row>
    <row r="84" spans="1:18" x14ac:dyDescent="0.25">
      <c r="A84" s="57"/>
      <c r="B84" s="7" t="s">
        <v>2</v>
      </c>
      <c r="C84" s="47">
        <f>SUM(C68:D68)</f>
        <v>7122206.041066057</v>
      </c>
      <c r="D84" s="49">
        <f>SUM(E68:F68)</f>
        <v>14301780.823926141</v>
      </c>
      <c r="E84" s="49">
        <f>SUM(G68:H68)</f>
        <v>4170459.7556384266</v>
      </c>
      <c r="F84" s="51">
        <f>SUM(I68:J68)</f>
        <v>3564112.2626702674</v>
      </c>
      <c r="G84" s="49">
        <f>SUM(K68:L68)</f>
        <v>0</v>
      </c>
      <c r="H84" s="49">
        <f>SUM(M68:N68)</f>
        <v>0</v>
      </c>
      <c r="I84" s="49">
        <f>SUM(O68:P68)</f>
        <v>0</v>
      </c>
      <c r="J84" s="51">
        <f>SUM(Q68:R68)</f>
        <v>0</v>
      </c>
      <c r="K84" s="49">
        <f>SUM(S68:T68)</f>
        <v>0</v>
      </c>
      <c r="L84" s="49">
        <f>SUM(U68:V68)</f>
        <v>0</v>
      </c>
      <c r="M84" s="49">
        <f>SUM(W68:X68)</f>
        <v>0</v>
      </c>
      <c r="N84" s="53">
        <f>SUM(Y68:Z68)</f>
        <v>0</v>
      </c>
      <c r="O84" s="2"/>
      <c r="P84" s="2">
        <f t="shared" si="21"/>
        <v>29158558.883300893</v>
      </c>
      <c r="Q84" s="2"/>
      <c r="R84" s="13"/>
    </row>
    <row r="85" spans="1:18" x14ac:dyDescent="0.25">
      <c r="A85" s="14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7">
        <f>SUM(P80:P84)</f>
        <v>170926443.08579448</v>
      </c>
      <c r="Q85" s="2"/>
      <c r="R85" s="13"/>
    </row>
    <row r="86" spans="1:18" x14ac:dyDescent="0.25">
      <c r="A86" s="14"/>
      <c r="B86" s="9" t="s">
        <v>12</v>
      </c>
      <c r="C86" s="2">
        <f>SUM(C80:C84)</f>
        <v>26918120.457770899</v>
      </c>
      <c r="D86" s="2">
        <f t="shared" ref="D86:N86" si="22">SUM(D80:D84)</f>
        <v>49508651.362665877</v>
      </c>
      <c r="E86" s="2">
        <f t="shared" si="22"/>
        <v>43237188.820529789</v>
      </c>
      <c r="F86" s="2">
        <f t="shared" si="22"/>
        <v>22103923.561527926</v>
      </c>
      <c r="G86" s="2">
        <f t="shared" si="22"/>
        <v>6006562.3612765213</v>
      </c>
      <c r="H86" s="2">
        <f t="shared" si="22"/>
        <v>10815909.606089959</v>
      </c>
      <c r="I86" s="2">
        <f t="shared" si="22"/>
        <v>2809512.3719472508</v>
      </c>
      <c r="J86" s="2">
        <f t="shared" si="22"/>
        <v>2812576.4585723621</v>
      </c>
      <c r="K86" s="2">
        <f t="shared" si="22"/>
        <v>1350482.4669984358</v>
      </c>
      <c r="L86" s="2">
        <f t="shared" si="22"/>
        <v>3345498.4268082767</v>
      </c>
      <c r="M86" s="2">
        <f t="shared" si="22"/>
        <v>1140874.1898914727</v>
      </c>
      <c r="N86" s="2">
        <f t="shared" si="22"/>
        <v>877143.00171570643</v>
      </c>
      <c r="O86" s="7">
        <f>SUM(C86:N86)</f>
        <v>170926443.08579448</v>
      </c>
      <c r="P86" s="2"/>
      <c r="Q86" s="2"/>
      <c r="R86" s="13"/>
    </row>
    <row r="87" spans="1:18" x14ac:dyDescent="0.25">
      <c r="A87" s="19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1"/>
    </row>
  </sheetData>
  <mergeCells count="16">
    <mergeCell ref="A80:A83"/>
    <mergeCell ref="C77:N77"/>
    <mergeCell ref="C78:F78"/>
    <mergeCell ref="G78:J78"/>
    <mergeCell ref="K78:N78"/>
    <mergeCell ref="A60:A67"/>
    <mergeCell ref="C4:Z4"/>
    <mergeCell ref="C58:J58"/>
    <mergeCell ref="K58:R58"/>
    <mergeCell ref="S58:Z58"/>
    <mergeCell ref="A7:A14"/>
    <mergeCell ref="C5:J5"/>
    <mergeCell ref="K5:R5"/>
    <mergeCell ref="O36:R36"/>
    <mergeCell ref="S5:Z5"/>
    <mergeCell ref="W36:Z3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14"/>
  <sheetViews>
    <sheetView topLeftCell="A36" zoomScaleNormal="100" workbookViewId="0">
      <pane xSplit="2" topLeftCell="D1" activePane="topRight" state="frozen"/>
      <selection pane="topRight" activeCell="C89" sqref="C89"/>
    </sheetView>
  </sheetViews>
  <sheetFormatPr defaultRowHeight="15" x14ac:dyDescent="0.25"/>
  <cols>
    <col min="1" max="1" width="19" bestFit="1" customWidth="1"/>
    <col min="2" max="2" width="70.28515625" bestFit="1" customWidth="1"/>
    <col min="3" max="14" width="18.85546875" customWidth="1"/>
    <col min="15" max="15" width="15.28515625" bestFit="1" customWidth="1"/>
    <col min="16" max="16" width="15.7109375" bestFit="1" customWidth="1"/>
    <col min="17" max="17" width="15.28515625" bestFit="1" customWidth="1"/>
    <col min="18" max="26" width="13.85546875" customWidth="1"/>
    <col min="27" max="29" width="15.28515625" bestFit="1" customWidth="1"/>
    <col min="30" max="30" width="11.5703125" bestFit="1" customWidth="1"/>
    <col min="31" max="31" width="12.7109375" bestFit="1" customWidth="1"/>
    <col min="32" max="32" width="12" bestFit="1" customWidth="1"/>
  </cols>
  <sheetData>
    <row r="1" spans="1:18" ht="18.75" x14ac:dyDescent="0.3">
      <c r="A1" s="6" t="s">
        <v>178</v>
      </c>
    </row>
    <row r="3" spans="1:18" x14ac:dyDescent="0.25">
      <c r="A3" s="59" t="s">
        <v>112</v>
      </c>
      <c r="B3" s="54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54"/>
      <c r="R3" s="55"/>
    </row>
    <row r="4" spans="1:18" x14ac:dyDescent="0.25">
      <c r="A4" s="14"/>
      <c r="B4" s="2"/>
      <c r="C4" s="145" t="s">
        <v>11</v>
      </c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62"/>
      <c r="P4" s="71" t="s">
        <v>29</v>
      </c>
      <c r="Q4" s="7" t="s">
        <v>39</v>
      </c>
      <c r="R4" s="13"/>
    </row>
    <row r="5" spans="1:18" x14ac:dyDescent="0.25">
      <c r="A5" s="14"/>
      <c r="B5" s="2"/>
      <c r="C5" s="146" t="s">
        <v>1</v>
      </c>
      <c r="D5" s="145"/>
      <c r="E5" s="145"/>
      <c r="F5" s="147"/>
      <c r="G5" s="145" t="s">
        <v>5</v>
      </c>
      <c r="H5" s="145"/>
      <c r="I5" s="145"/>
      <c r="J5" s="147"/>
      <c r="K5" s="148" t="s">
        <v>3</v>
      </c>
      <c r="L5" s="145"/>
      <c r="M5" s="145"/>
      <c r="N5" s="149"/>
      <c r="O5" s="62"/>
      <c r="P5" s="62"/>
      <c r="Q5" s="2"/>
      <c r="R5" s="13"/>
    </row>
    <row r="6" spans="1:18" x14ac:dyDescent="0.25">
      <c r="A6" s="14"/>
      <c r="B6" s="2"/>
      <c r="C6" s="128" t="s">
        <v>7</v>
      </c>
      <c r="D6" s="71" t="s">
        <v>8</v>
      </c>
      <c r="E6" s="71" t="s">
        <v>9</v>
      </c>
      <c r="F6" s="129" t="s">
        <v>0</v>
      </c>
      <c r="G6" s="71" t="s">
        <v>7</v>
      </c>
      <c r="H6" s="71" t="s">
        <v>8</v>
      </c>
      <c r="I6" s="71" t="s">
        <v>9</v>
      </c>
      <c r="J6" s="129" t="s">
        <v>0</v>
      </c>
      <c r="K6" s="71" t="s">
        <v>7</v>
      </c>
      <c r="L6" s="71" t="s">
        <v>8</v>
      </c>
      <c r="M6" s="71" t="s">
        <v>9</v>
      </c>
      <c r="N6" s="130" t="s">
        <v>0</v>
      </c>
      <c r="O6" s="62"/>
      <c r="P6" s="62"/>
      <c r="Q6" s="2"/>
      <c r="R6" s="13"/>
    </row>
    <row r="7" spans="1:18" x14ac:dyDescent="0.25">
      <c r="A7" s="150" t="s">
        <v>10</v>
      </c>
      <c r="B7" s="7" t="s">
        <v>7</v>
      </c>
      <c r="C7" s="131">
        <f>'BenchmarkIOMatrix-1995'!C22</f>
        <v>5564804.2664373862</v>
      </c>
      <c r="D7" s="70">
        <f>'BenchmarkIOMatrix-1995'!D22</f>
        <v>228785.35852844641</v>
      </c>
      <c r="E7" s="70">
        <f>'BenchmarkIOMatrix-1995'!E22</f>
        <v>94560.991268332247</v>
      </c>
      <c r="F7" s="133">
        <f>'BenchmarkIOMatrix-1995'!F22</f>
        <v>197436.19747258461</v>
      </c>
      <c r="G7" s="70">
        <f>'BenchmarkIOMatrix-1995'!G22</f>
        <v>5926949.1729290169</v>
      </c>
      <c r="H7" s="70">
        <f>'BenchmarkIOMatrix-1995'!H22</f>
        <v>80793.271593902246</v>
      </c>
      <c r="I7" s="70">
        <f>'BenchmarkIOMatrix-1995'!I22</f>
        <v>23796.918202255772</v>
      </c>
      <c r="J7" s="133">
        <f>'BenchmarkIOMatrix-1995'!J22</f>
        <v>39382.304926033845</v>
      </c>
      <c r="K7" s="70">
        <f>'BenchmarkIOMatrix-1995'!K22</f>
        <v>1218234.1868745731</v>
      </c>
      <c r="L7" s="70">
        <f>'BenchmarkIOMatrix-1995'!L22</f>
        <v>51246.054381103066</v>
      </c>
      <c r="M7" s="70">
        <f>'BenchmarkIOMatrix-1995'!M22</f>
        <v>23271.258425006239</v>
      </c>
      <c r="N7" s="132">
        <f>'BenchmarkIOMatrix-1995'!N22</f>
        <v>25952.957038492499</v>
      </c>
      <c r="O7" s="62"/>
      <c r="P7" s="62">
        <f>SUM(C7:N7)</f>
        <v>13475212.938077131</v>
      </c>
      <c r="Q7" s="56">
        <f>C17</f>
        <v>13475212.938071484</v>
      </c>
      <c r="R7" s="115">
        <f>Q7-P7</f>
        <v>-5.6475400924682617E-6</v>
      </c>
    </row>
    <row r="8" spans="1:18" x14ac:dyDescent="0.25">
      <c r="A8" s="150"/>
      <c r="B8" s="7" t="s">
        <v>8</v>
      </c>
      <c r="C8" s="61">
        <f>'BenchmarkIOMatrix-1995'!C23</f>
        <v>261470.69247068494</v>
      </c>
      <c r="D8" s="62">
        <f>'BenchmarkIOMatrix-1995'!D23</f>
        <v>12275066.818850553</v>
      </c>
      <c r="E8" s="62">
        <f>'BenchmarkIOMatrix-1995'!E23</f>
        <v>241701.14516750092</v>
      </c>
      <c r="F8" s="63">
        <f>'BenchmarkIOMatrix-1995'!F23</f>
        <v>399022.63325623551</v>
      </c>
      <c r="G8" s="62">
        <f>'BenchmarkIOMatrix-1995'!G23</f>
        <v>96252.139286830163</v>
      </c>
      <c r="H8" s="62">
        <f>'BenchmarkIOMatrix-1995'!H23</f>
        <v>10704035.358149167</v>
      </c>
      <c r="I8" s="62">
        <f>'BenchmarkIOMatrix-1995'!I23</f>
        <v>71946.141329368314</v>
      </c>
      <c r="J8" s="63">
        <f>'BenchmarkIOMatrix-1995'!J23</f>
        <v>110572.75313071824</v>
      </c>
      <c r="K8" s="62">
        <f>'BenchmarkIOMatrix-1995'!K23</f>
        <v>109753.5638649686</v>
      </c>
      <c r="L8" s="62">
        <f>'BenchmarkIOMatrix-1995'!L23</f>
        <v>3294355.465238513</v>
      </c>
      <c r="M8" s="62">
        <f>'BenchmarkIOMatrix-1995'!M23</f>
        <v>80501.005451682257</v>
      </c>
      <c r="N8" s="64">
        <f>'BenchmarkIOMatrix-1995'!N23</f>
        <v>126077.31593519982</v>
      </c>
      <c r="O8" s="62"/>
      <c r="P8" s="62">
        <f t="shared" ref="P8:P11" si="0">SUM(C8:N8)</f>
        <v>27770755.032131422</v>
      </c>
      <c r="Q8" s="56">
        <f>D17</f>
        <v>27770755.032137431</v>
      </c>
      <c r="R8" s="115">
        <f t="shared" ref="R8:R14" si="1">Q8-P8</f>
        <v>6.0088932514190674E-6</v>
      </c>
    </row>
    <row r="9" spans="1:18" x14ac:dyDescent="0.25">
      <c r="A9" s="150"/>
      <c r="B9" s="7" t="s">
        <v>9</v>
      </c>
      <c r="C9" s="61">
        <f>'BenchmarkIOMatrix-1995'!C24</f>
        <v>95152.366388163427</v>
      </c>
      <c r="D9" s="62">
        <f>'BenchmarkIOMatrix-1995'!D24</f>
        <v>235463.17281323919</v>
      </c>
      <c r="E9" s="62">
        <f>'BenchmarkIOMatrix-1995'!E24</f>
        <v>3640906.9840632132</v>
      </c>
      <c r="F9" s="63">
        <f>'BenchmarkIOMatrix-1995'!F24</f>
        <v>107542.97285170347</v>
      </c>
      <c r="G9" s="62">
        <f>'BenchmarkIOMatrix-1995'!G24</f>
        <v>69612.719485673399</v>
      </c>
      <c r="H9" s="62">
        <f>'BenchmarkIOMatrix-1995'!H24</f>
        <v>118632.42681035015</v>
      </c>
      <c r="I9" s="62">
        <f>'BenchmarkIOMatrix-1995'!I24</f>
        <v>2571912.3435154334</v>
      </c>
      <c r="J9" s="63">
        <f>'BenchmarkIOMatrix-1995'!J24</f>
        <v>27544.246953702092</v>
      </c>
      <c r="K9" s="62">
        <f>'BenchmarkIOMatrix-1995'!K24</f>
        <v>30617.293819350543</v>
      </c>
      <c r="L9" s="62">
        <f>'BenchmarkIOMatrix-1995'!L24</f>
        <v>28805.311450726502</v>
      </c>
      <c r="M9" s="62">
        <f>'BenchmarkIOMatrix-1995'!M24</f>
        <v>981448.19822669344</v>
      </c>
      <c r="N9" s="64">
        <f>'BenchmarkIOMatrix-1995'!N24</f>
        <v>25405.79746879491</v>
      </c>
      <c r="O9" s="62"/>
      <c r="P9" s="62">
        <f t="shared" si="0"/>
        <v>7933043.8338470431</v>
      </c>
      <c r="Q9" s="56">
        <f>E17</f>
        <v>7933043.8338463791</v>
      </c>
      <c r="R9" s="115">
        <f t="shared" si="1"/>
        <v>-6.6403299570083618E-7</v>
      </c>
    </row>
    <row r="10" spans="1:18" x14ac:dyDescent="0.25">
      <c r="A10" s="150"/>
      <c r="B10" s="7" t="s">
        <v>0</v>
      </c>
      <c r="C10" s="61">
        <f>'BenchmarkIOMatrix-1995'!C25</f>
        <v>103957.0235870342</v>
      </c>
      <c r="D10" s="62">
        <f>'BenchmarkIOMatrix-1995'!D25</f>
        <v>268168.77441047278</v>
      </c>
      <c r="E10" s="62">
        <f>'BenchmarkIOMatrix-1995'!E25</f>
        <v>110477.23760934155</v>
      </c>
      <c r="F10" s="63">
        <f>'BenchmarkIOMatrix-1995'!F25</f>
        <v>2199233.0214599343</v>
      </c>
      <c r="G10" s="62">
        <f>'BenchmarkIOMatrix-1995'!G25</f>
        <v>47489.886967469742</v>
      </c>
      <c r="H10" s="62">
        <f>'BenchmarkIOMatrix-1995'!H25</f>
        <v>88682.262198576325</v>
      </c>
      <c r="I10" s="62">
        <f>'BenchmarkIOMatrix-1995'!I25</f>
        <v>26264.927119951724</v>
      </c>
      <c r="J10" s="63">
        <f>'BenchmarkIOMatrix-1995'!J25</f>
        <v>2458210.4419855447</v>
      </c>
      <c r="K10" s="62">
        <f>'BenchmarkIOMatrix-1995'!K25</f>
        <v>21947.139110096494</v>
      </c>
      <c r="L10" s="62">
        <f>'BenchmarkIOMatrix-1995'!L25</f>
        <v>25602.924875657292</v>
      </c>
      <c r="M10" s="62">
        <f>'BenchmarkIOMatrix-1995'!M25</f>
        <v>8714.6296226206923</v>
      </c>
      <c r="N10" s="64">
        <f>'BenchmarkIOMatrix-1995'!N25</f>
        <v>644548.46693251166</v>
      </c>
      <c r="O10" s="62"/>
      <c r="P10" s="62">
        <f t="shared" si="0"/>
        <v>6003296.7358792117</v>
      </c>
      <c r="Q10" s="56">
        <f>F17</f>
        <v>6003296.7358794827</v>
      </c>
      <c r="R10" s="115">
        <f t="shared" si="1"/>
        <v>2.7101486921310425E-7</v>
      </c>
    </row>
    <row r="11" spans="1:18" s="3" customFormat="1" x14ac:dyDescent="0.25">
      <c r="A11" s="57"/>
      <c r="B11" s="7" t="s">
        <v>90</v>
      </c>
      <c r="C11" s="61">
        <f>'BenchmarkIOMatrix-1995'!C26</f>
        <v>7449828.5891882153</v>
      </c>
      <c r="D11" s="62">
        <v>0</v>
      </c>
      <c r="E11" s="62">
        <v>0</v>
      </c>
      <c r="F11" s="63">
        <v>0</v>
      </c>
      <c r="G11" s="62">
        <v>0</v>
      </c>
      <c r="H11" s="62">
        <v>0</v>
      </c>
      <c r="I11" s="62">
        <v>0</v>
      </c>
      <c r="J11" s="63">
        <v>0</v>
      </c>
      <c r="K11" s="62">
        <v>0</v>
      </c>
      <c r="L11" s="62">
        <v>0</v>
      </c>
      <c r="M11" s="62">
        <v>0</v>
      </c>
      <c r="N11" s="64">
        <v>0</v>
      </c>
      <c r="O11" s="62"/>
      <c r="P11" s="62">
        <f t="shared" si="0"/>
        <v>7449828.5891882153</v>
      </c>
      <c r="Q11" s="56">
        <f>C11</f>
        <v>7449828.5891882153</v>
      </c>
      <c r="R11" s="115">
        <f t="shared" si="1"/>
        <v>0</v>
      </c>
    </row>
    <row r="12" spans="1:18" s="3" customFormat="1" x14ac:dyDescent="0.25">
      <c r="A12" s="57"/>
      <c r="B12" s="7" t="s">
        <v>91</v>
      </c>
      <c r="C12" s="61">
        <v>0</v>
      </c>
      <c r="D12" s="62">
        <f>'BenchmarkIOMatrix-1995'!D26</f>
        <v>14763270.907534719</v>
      </c>
      <c r="E12" s="62">
        <v>0</v>
      </c>
      <c r="F12" s="63">
        <v>0</v>
      </c>
      <c r="G12" s="62">
        <v>0</v>
      </c>
      <c r="H12" s="62">
        <v>0</v>
      </c>
      <c r="I12" s="62">
        <v>0</v>
      </c>
      <c r="J12" s="63">
        <v>0</v>
      </c>
      <c r="K12" s="62">
        <v>0</v>
      </c>
      <c r="L12" s="62">
        <v>0</v>
      </c>
      <c r="M12" s="62">
        <v>0</v>
      </c>
      <c r="N12" s="64">
        <v>0</v>
      </c>
      <c r="O12" s="62"/>
      <c r="P12" s="62">
        <f>SUM(C12:O12)</f>
        <v>14763270.907534719</v>
      </c>
      <c r="Q12" s="56">
        <f>D12</f>
        <v>14763270.907534719</v>
      </c>
      <c r="R12" s="115">
        <f t="shared" si="1"/>
        <v>0</v>
      </c>
    </row>
    <row r="13" spans="1:18" s="3" customFormat="1" x14ac:dyDescent="0.25">
      <c r="A13" s="57"/>
      <c r="B13" s="7" t="s">
        <v>92</v>
      </c>
      <c r="C13" s="61">
        <v>0</v>
      </c>
      <c r="D13" s="62">
        <v>0</v>
      </c>
      <c r="E13" s="62">
        <f>'BenchmarkIOMatrix-1995'!E26</f>
        <v>3845397.4757379903</v>
      </c>
      <c r="F13" s="63">
        <v>0</v>
      </c>
      <c r="G13" s="62">
        <v>0</v>
      </c>
      <c r="H13" s="62">
        <v>0</v>
      </c>
      <c r="I13" s="62">
        <v>0</v>
      </c>
      <c r="J13" s="63">
        <v>0</v>
      </c>
      <c r="K13" s="62">
        <v>0</v>
      </c>
      <c r="L13" s="62">
        <v>0</v>
      </c>
      <c r="M13" s="62">
        <v>0</v>
      </c>
      <c r="N13" s="64">
        <v>0</v>
      </c>
      <c r="O13" s="62"/>
      <c r="P13" s="62">
        <f t="shared" ref="P13:P14" si="2">SUM(C13:O13)</f>
        <v>3845397.4757379903</v>
      </c>
      <c r="Q13" s="56">
        <f>E13</f>
        <v>3845397.4757379903</v>
      </c>
      <c r="R13" s="115">
        <f t="shared" si="1"/>
        <v>0</v>
      </c>
    </row>
    <row r="14" spans="1:18" s="3" customFormat="1" x14ac:dyDescent="0.25">
      <c r="A14" s="57"/>
      <c r="B14" s="7" t="s">
        <v>93</v>
      </c>
      <c r="C14" s="65">
        <v>0</v>
      </c>
      <c r="D14" s="66">
        <v>0</v>
      </c>
      <c r="E14" s="66"/>
      <c r="F14" s="67">
        <f>'BenchmarkIOMatrix-1995'!F26</f>
        <v>3100061.9108390249</v>
      </c>
      <c r="G14" s="66">
        <v>0</v>
      </c>
      <c r="H14" s="66">
        <v>0</v>
      </c>
      <c r="I14" s="66">
        <v>0</v>
      </c>
      <c r="J14" s="67">
        <v>0</v>
      </c>
      <c r="K14" s="66">
        <v>0</v>
      </c>
      <c r="L14" s="66">
        <v>0</v>
      </c>
      <c r="M14" s="66">
        <v>0</v>
      </c>
      <c r="N14" s="68">
        <v>0</v>
      </c>
      <c r="O14" s="62"/>
      <c r="P14" s="62">
        <f t="shared" si="2"/>
        <v>3100061.9108390249</v>
      </c>
      <c r="Q14" s="56">
        <f>F14</f>
        <v>3100061.9108390249</v>
      </c>
      <c r="R14" s="115">
        <f t="shared" si="1"/>
        <v>0</v>
      </c>
    </row>
    <row r="15" spans="1:18" s="3" customFormat="1" x14ac:dyDescent="0.25">
      <c r="A15" s="14"/>
      <c r="B15" s="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71">
        <f>SUM(P7:P14)</f>
        <v>84340867.423234761</v>
      </c>
      <c r="Q15" s="71">
        <f>SUM(Q7:Q14)</f>
        <v>84340867.423234716</v>
      </c>
      <c r="R15" s="13"/>
    </row>
    <row r="16" spans="1:18" s="3" customFormat="1" x14ac:dyDescent="0.25">
      <c r="A16" s="14"/>
      <c r="B16" s="9" t="s">
        <v>77</v>
      </c>
      <c r="C16" s="62">
        <f>SUM(C7:C14)</f>
        <v>13475212.938071484</v>
      </c>
      <c r="D16" s="62">
        <f>SUM(D7:D14)</f>
        <v>27770755.032137431</v>
      </c>
      <c r="E16" s="62">
        <f>SUM(E7:E13)</f>
        <v>7933043.8338463791</v>
      </c>
      <c r="F16" s="62">
        <f>SUM(F7:F14)</f>
        <v>6003296.7358794827</v>
      </c>
      <c r="G16" s="62">
        <f>SUM(G7:G14)</f>
        <v>6140303.91866899</v>
      </c>
      <c r="H16" s="62">
        <f t="shared" ref="H16:N16" si="3">SUM(H7:H12)</f>
        <v>10992143.318751996</v>
      </c>
      <c r="I16" s="62">
        <f t="shared" si="3"/>
        <v>2693920.330167009</v>
      </c>
      <c r="J16" s="62">
        <f t="shared" si="3"/>
        <v>2635709.746995999</v>
      </c>
      <c r="K16" s="62">
        <f t="shared" si="3"/>
        <v>1380552.183668989</v>
      </c>
      <c r="L16" s="62">
        <f t="shared" si="3"/>
        <v>3400009.7559459996</v>
      </c>
      <c r="M16" s="62">
        <f t="shared" si="3"/>
        <v>1093935.0917260027</v>
      </c>
      <c r="N16" s="62">
        <f t="shared" si="3"/>
        <v>821984.53737499891</v>
      </c>
      <c r="O16" s="71">
        <f>SUM(C16:N16)</f>
        <v>84340867.423234761</v>
      </c>
      <c r="P16" s="62">
        <f>P15-O16</f>
        <v>0</v>
      </c>
      <c r="Q16" s="2"/>
      <c r="R16" s="13"/>
    </row>
    <row r="17" spans="1:26" s="3" customFormat="1" x14ac:dyDescent="0.25">
      <c r="A17" s="14"/>
      <c r="B17" s="7" t="s">
        <v>78</v>
      </c>
      <c r="C17" s="116">
        <f>C16</f>
        <v>13475212.938071484</v>
      </c>
      <c r="D17" s="116">
        <f>D16</f>
        <v>27770755.032137431</v>
      </c>
      <c r="E17" s="116">
        <f>E16</f>
        <v>7933043.8338463791</v>
      </c>
      <c r="F17" s="116">
        <f>F16</f>
        <v>6003296.7358794827</v>
      </c>
      <c r="G17" s="116">
        <f>C26</f>
        <v>6069276.4055192266</v>
      </c>
      <c r="H17" s="116">
        <f t="shared" ref="H17:J17" si="4">D26</f>
        <v>11363261.151588719</v>
      </c>
      <c r="I17" s="116">
        <f t="shared" si="4"/>
        <v>2751462.3840119876</v>
      </c>
      <c r="J17" s="116">
        <f t="shared" si="4"/>
        <v>2278077.373464026</v>
      </c>
      <c r="K17" s="116">
        <f>C27</f>
        <v>1380552.183668989</v>
      </c>
      <c r="L17" s="116">
        <f t="shared" ref="L17:N17" si="5">D27</f>
        <v>3400009.7559459996</v>
      </c>
      <c r="M17" s="116">
        <f t="shared" si="5"/>
        <v>1093935.0917260027</v>
      </c>
      <c r="N17" s="116">
        <f t="shared" si="5"/>
        <v>821984.53737499902</v>
      </c>
      <c r="O17" s="71">
        <f>SUM(C17:N17)</f>
        <v>84340867.423234716</v>
      </c>
      <c r="P17" s="2"/>
      <c r="Q17" s="120"/>
      <c r="R17" s="13"/>
    </row>
    <row r="18" spans="1:26" x14ac:dyDescent="0.25">
      <c r="A18" s="19"/>
      <c r="B18" s="20"/>
      <c r="C18" s="119">
        <f>C17-C16</f>
        <v>0</v>
      </c>
      <c r="D18" s="119">
        <f t="shared" ref="D18:N18" si="6">D17-D16</f>
        <v>0</v>
      </c>
      <c r="E18" s="119">
        <f t="shared" si="6"/>
        <v>0</v>
      </c>
      <c r="F18" s="119">
        <f t="shared" si="6"/>
        <v>0</v>
      </c>
      <c r="G18" s="119">
        <f t="shared" si="6"/>
        <v>-71027.513149763457</v>
      </c>
      <c r="H18" s="119">
        <f t="shared" si="6"/>
        <v>371117.83283672296</v>
      </c>
      <c r="I18" s="119">
        <f t="shared" si="6"/>
        <v>57542.053844978567</v>
      </c>
      <c r="J18" s="119">
        <f t="shared" si="6"/>
        <v>-357632.37353197299</v>
      </c>
      <c r="K18" s="119">
        <f t="shared" si="6"/>
        <v>0</v>
      </c>
      <c r="L18" s="119">
        <f t="shared" si="6"/>
        <v>0</v>
      </c>
      <c r="M18" s="119">
        <f t="shared" si="6"/>
        <v>0</v>
      </c>
      <c r="N18" s="119">
        <f t="shared" si="6"/>
        <v>0</v>
      </c>
      <c r="O18" s="20"/>
      <c r="P18" s="20"/>
      <c r="Q18" s="20"/>
      <c r="R18" s="21"/>
    </row>
    <row r="19" spans="1:26" x14ac:dyDescent="0.25">
      <c r="A19" s="7"/>
      <c r="B19" s="5"/>
      <c r="C19" s="5"/>
      <c r="D19" s="5"/>
      <c r="E19" s="5"/>
      <c r="F19" s="5"/>
      <c r="H19" s="5"/>
      <c r="I19" s="5"/>
      <c r="J19" s="5"/>
      <c r="K19" s="5"/>
      <c r="L19" s="5"/>
      <c r="M19" s="5"/>
      <c r="N19" s="5"/>
      <c r="Q19" s="5"/>
      <c r="S19" s="5"/>
      <c r="T19" s="5"/>
      <c r="U19" s="5"/>
      <c r="V19" s="5"/>
      <c r="Y19" s="5"/>
    </row>
    <row r="20" spans="1:26" x14ac:dyDescent="0.25">
      <c r="A20" s="59" t="s">
        <v>83</v>
      </c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6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57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7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57"/>
      <c r="B22" s="79"/>
      <c r="C22" s="80" t="s">
        <v>7</v>
      </c>
      <c r="D22" s="80" t="s">
        <v>8</v>
      </c>
      <c r="E22" s="80" t="s">
        <v>9</v>
      </c>
      <c r="F22" s="80" t="s">
        <v>0</v>
      </c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57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57"/>
      <c r="B24" s="126" t="s">
        <v>179</v>
      </c>
      <c r="C24" s="114"/>
      <c r="D24" s="114"/>
      <c r="E24" s="114"/>
      <c r="F24" s="114"/>
      <c r="G24" s="2"/>
      <c r="H24" s="2"/>
      <c r="I24" s="2"/>
      <c r="J24" s="2"/>
      <c r="K24" s="2"/>
      <c r="L24" s="13"/>
    </row>
    <row r="25" spans="1:26" x14ac:dyDescent="0.25">
      <c r="A25" s="57"/>
      <c r="B25" s="7" t="s">
        <v>106</v>
      </c>
      <c r="C25" s="114">
        <f>'BenchmarkIOMatrix-1995'!K28/'BenchmarkIOMatrix-1995'!C26</f>
        <v>0.18531328166027286</v>
      </c>
      <c r="D25" s="114">
        <f>'BenchmarkIOMatrix-1995'!L28/'BenchmarkIOMatrix-1995'!D26</f>
        <v>0.23030192815947986</v>
      </c>
      <c r="E25" s="114">
        <f>'BenchmarkIOMatrix-1995'!M28/'BenchmarkIOMatrix-1995'!E26</f>
        <v>0.28447906845210064</v>
      </c>
      <c r="F25" s="114">
        <f>'BenchmarkIOMatrix-1995'!N28/'BenchmarkIOMatrix-1995'!F26</f>
        <v>0.26515100698506072</v>
      </c>
      <c r="G25" s="2"/>
      <c r="H25" s="2"/>
      <c r="I25" s="2"/>
      <c r="J25" s="2"/>
      <c r="K25" s="2"/>
      <c r="L25" s="13"/>
    </row>
    <row r="26" spans="1:26" x14ac:dyDescent="0.25">
      <c r="A26" s="57"/>
      <c r="B26" s="7" t="s">
        <v>109</v>
      </c>
      <c r="C26" s="114">
        <f>(1-C25)*C11</f>
        <v>6069276.4055192266</v>
      </c>
      <c r="D26" s="114">
        <f>(1-D25)*D12</f>
        <v>11363261.151588719</v>
      </c>
      <c r="E26" s="114">
        <f>(1-E25)*E13</f>
        <v>2751462.3840119876</v>
      </c>
      <c r="F26" s="114">
        <f>(1-F25)*F14</f>
        <v>2278077.373464026</v>
      </c>
      <c r="G26" s="2"/>
      <c r="H26" s="2"/>
      <c r="I26" s="2"/>
      <c r="J26" s="2"/>
      <c r="K26" s="2"/>
      <c r="L26" s="13"/>
    </row>
    <row r="27" spans="1:26" x14ac:dyDescent="0.25">
      <c r="A27" s="57"/>
      <c r="B27" s="7" t="s">
        <v>110</v>
      </c>
      <c r="C27" s="114">
        <f>C25*C11</f>
        <v>1380552.183668989</v>
      </c>
      <c r="D27" s="114">
        <f>D25*D12</f>
        <v>3400009.7559459996</v>
      </c>
      <c r="E27" s="114">
        <f>E25*E13</f>
        <v>1093935.0917260027</v>
      </c>
      <c r="F27" s="114">
        <f>F25*F14</f>
        <v>821984.53737499902</v>
      </c>
      <c r="G27" s="2"/>
      <c r="H27" s="2"/>
      <c r="I27" s="2"/>
      <c r="J27" s="2"/>
      <c r="K27" s="2"/>
      <c r="L27" s="13"/>
    </row>
    <row r="28" spans="1:26" x14ac:dyDescent="0.25">
      <c r="A28" s="98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7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108"/>
      <c r="B29" s="125"/>
      <c r="C29" s="110"/>
      <c r="D29" s="110"/>
      <c r="E29" s="110"/>
      <c r="F29" s="110"/>
      <c r="G29" s="110"/>
      <c r="H29" s="110"/>
      <c r="I29" s="110"/>
      <c r="J29" s="110"/>
      <c r="K29" s="110"/>
      <c r="L29" s="1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x14ac:dyDescent="0.25">
      <c r="A30" s="9"/>
      <c r="B30" s="126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x14ac:dyDescent="0.25">
      <c r="A31" s="59" t="s">
        <v>114</v>
      </c>
      <c r="B31" s="54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54"/>
      <c r="R31" s="55"/>
    </row>
    <row r="32" spans="1:26" x14ac:dyDescent="0.25">
      <c r="A32" s="14"/>
      <c r="B32" s="2"/>
      <c r="C32" s="145" t="s">
        <v>11</v>
      </c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62"/>
      <c r="P32" s="71" t="s">
        <v>29</v>
      </c>
      <c r="Q32" s="7" t="s">
        <v>39</v>
      </c>
      <c r="R32" s="13"/>
    </row>
    <row r="33" spans="1:18" x14ac:dyDescent="0.25">
      <c r="A33" s="14"/>
      <c r="B33" s="2"/>
      <c r="C33" s="146" t="s">
        <v>1</v>
      </c>
      <c r="D33" s="145"/>
      <c r="E33" s="145"/>
      <c r="F33" s="147"/>
      <c r="G33" s="145" t="s">
        <v>5</v>
      </c>
      <c r="H33" s="145"/>
      <c r="I33" s="145"/>
      <c r="J33" s="147"/>
      <c r="K33" s="148" t="s">
        <v>3</v>
      </c>
      <c r="L33" s="145"/>
      <c r="M33" s="145"/>
      <c r="N33" s="149"/>
      <c r="O33" s="62"/>
      <c r="P33" s="62"/>
      <c r="Q33" s="2"/>
      <c r="R33" s="13"/>
    </row>
    <row r="34" spans="1:18" ht="15.75" thickBot="1" x14ac:dyDescent="0.3">
      <c r="A34" s="14"/>
      <c r="B34" s="2"/>
      <c r="C34" s="72" t="s">
        <v>7</v>
      </c>
      <c r="D34" s="73" t="s">
        <v>8</v>
      </c>
      <c r="E34" s="73" t="s">
        <v>9</v>
      </c>
      <c r="F34" s="74" t="s">
        <v>0</v>
      </c>
      <c r="G34" s="73" t="s">
        <v>7</v>
      </c>
      <c r="H34" s="73" t="s">
        <v>8</v>
      </c>
      <c r="I34" s="73" t="s">
        <v>9</v>
      </c>
      <c r="J34" s="74" t="s">
        <v>0</v>
      </c>
      <c r="K34" s="73" t="s">
        <v>7</v>
      </c>
      <c r="L34" s="73" t="s">
        <v>8</v>
      </c>
      <c r="M34" s="73" t="s">
        <v>9</v>
      </c>
      <c r="N34" s="75" t="s">
        <v>0</v>
      </c>
      <c r="O34" s="62"/>
      <c r="P34" s="62"/>
      <c r="Q34" s="2"/>
      <c r="R34" s="13"/>
    </row>
    <row r="35" spans="1:18" ht="15.75" thickTop="1" x14ac:dyDescent="0.25">
      <c r="A35" s="150" t="s">
        <v>10</v>
      </c>
      <c r="B35" s="7" t="s">
        <v>7</v>
      </c>
      <c r="C35" s="61">
        <v>5584844.0888938438</v>
      </c>
      <c r="D35" s="62">
        <v>255279.65553429612</v>
      </c>
      <c r="E35" s="62">
        <v>101767.42729966232</v>
      </c>
      <c r="F35" s="63">
        <v>181141.27996116076</v>
      </c>
      <c r="G35" s="62">
        <v>5867262.4424776854</v>
      </c>
      <c r="H35" s="62">
        <v>93673.103677839434</v>
      </c>
      <c r="I35" s="62">
        <v>26263.156265772657</v>
      </c>
      <c r="J35" s="63">
        <v>30185.464546718667</v>
      </c>
      <c r="K35" s="62">
        <v>1228430.404399208</v>
      </c>
      <c r="L35" s="62">
        <v>57433.616809549116</v>
      </c>
      <c r="M35" s="62">
        <v>25175.577535009244</v>
      </c>
      <c r="N35" s="64">
        <v>23756.720662737436</v>
      </c>
      <c r="O35" s="62"/>
      <c r="P35" s="62">
        <f>SUM(C35:N35)</f>
        <v>13475212.938063484</v>
      </c>
      <c r="Q35" s="56">
        <f>Q7</f>
        <v>13475212.938071484</v>
      </c>
      <c r="R35" s="115">
        <f>Q35-P35</f>
        <v>8.0000609159469604E-6</v>
      </c>
    </row>
    <row r="36" spans="1:18" x14ac:dyDescent="0.25">
      <c r="A36" s="150"/>
      <c r="B36" s="7" t="s">
        <v>8</v>
      </c>
      <c r="C36" s="61">
        <v>233119.08221062407</v>
      </c>
      <c r="D36" s="62">
        <v>12167615.843802262</v>
      </c>
      <c r="E36" s="62">
        <v>231083.60538756629</v>
      </c>
      <c r="F36" s="63">
        <v>325223.43441011378</v>
      </c>
      <c r="G36" s="62">
        <v>84646.372236560041</v>
      </c>
      <c r="H36" s="62">
        <v>11025058.379034571</v>
      </c>
      <c r="I36" s="62">
        <v>70538.684120418227</v>
      </c>
      <c r="J36" s="63">
        <v>75290.209212554604</v>
      </c>
      <c r="K36" s="62">
        <v>98317.777547751772</v>
      </c>
      <c r="L36" s="62">
        <v>3279969.7532823854</v>
      </c>
      <c r="M36" s="62">
        <v>77366.78059086416</v>
      </c>
      <c r="N36" s="64">
        <v>102525.11030918248</v>
      </c>
      <c r="O36" s="62"/>
      <c r="P36" s="62">
        <f t="shared" ref="P36:P39" si="7">SUM(C36:N36)</f>
        <v>27770755.032144852</v>
      </c>
      <c r="Q36" s="56">
        <f>Q8</f>
        <v>27770755.032137431</v>
      </c>
      <c r="R36" s="115">
        <f t="shared" ref="R36:R42" si="8">Q36-P36</f>
        <v>-7.4207782745361328E-6</v>
      </c>
    </row>
    <row r="37" spans="1:18" x14ac:dyDescent="0.25">
      <c r="A37" s="150"/>
      <c r="B37" s="7" t="s">
        <v>9</v>
      </c>
      <c r="C37" s="61">
        <v>88197.078054740763</v>
      </c>
      <c r="D37" s="62">
        <v>242652.30041768891</v>
      </c>
      <c r="E37" s="62">
        <v>3618926.8692085594</v>
      </c>
      <c r="F37" s="63">
        <v>91126.803253930571</v>
      </c>
      <c r="G37" s="62">
        <v>63645.30258842359</v>
      </c>
      <c r="H37" s="62">
        <v>127033.00564506746</v>
      </c>
      <c r="I37" s="62">
        <v>2621535.8816721882</v>
      </c>
      <c r="J37" s="63">
        <v>19498.494512924408</v>
      </c>
      <c r="K37" s="62">
        <v>28514.123072725586</v>
      </c>
      <c r="L37" s="62">
        <v>29816.162874936439</v>
      </c>
      <c r="M37" s="62">
        <v>980619.21509131265</v>
      </c>
      <c r="N37" s="64">
        <v>21478.597454459115</v>
      </c>
      <c r="O37" s="62"/>
      <c r="P37" s="62">
        <f t="shared" si="7"/>
        <v>7933043.8338469565</v>
      </c>
      <c r="Q37" s="56">
        <f>Q9</f>
        <v>7933043.8338463791</v>
      </c>
      <c r="R37" s="115">
        <f t="shared" si="8"/>
        <v>-5.7741999626159668E-7</v>
      </c>
    </row>
    <row r="38" spans="1:18" x14ac:dyDescent="0.25">
      <c r="A38" s="150"/>
      <c r="B38" s="7" t="s">
        <v>0</v>
      </c>
      <c r="C38" s="61">
        <v>119224.09972909895</v>
      </c>
      <c r="D38" s="62">
        <v>341936.32484405226</v>
      </c>
      <c r="E38" s="62">
        <v>135868.45621229213</v>
      </c>
      <c r="F38" s="63">
        <v>2305743.3074151571</v>
      </c>
      <c r="G38" s="62">
        <v>53722.288216557616</v>
      </c>
      <c r="H38" s="62">
        <v>117496.66323124441</v>
      </c>
      <c r="I38" s="62">
        <v>33124.6619536082</v>
      </c>
      <c r="J38" s="63">
        <v>2153103.2051918283</v>
      </c>
      <c r="K38" s="62">
        <v>25289.878649303475</v>
      </c>
      <c r="L38" s="62">
        <v>32790.222979128266</v>
      </c>
      <c r="M38" s="62">
        <v>10773.518508816824</v>
      </c>
      <c r="N38" s="64">
        <v>674224.10894861992</v>
      </c>
      <c r="O38" s="62"/>
      <c r="P38" s="62">
        <f t="shared" si="7"/>
        <v>6003296.7358797081</v>
      </c>
      <c r="Q38" s="56">
        <f>Q10</f>
        <v>6003296.7358794827</v>
      </c>
      <c r="R38" s="115">
        <f t="shared" si="8"/>
        <v>-2.253800630569458E-7</v>
      </c>
    </row>
    <row r="39" spans="1:18" x14ac:dyDescent="0.25">
      <c r="A39" s="57"/>
      <c r="B39" s="7" t="s">
        <v>90</v>
      </c>
      <c r="C39" s="62">
        <v>7449828.5891831769</v>
      </c>
      <c r="D39" s="62">
        <v>0</v>
      </c>
      <c r="E39" s="62">
        <v>0</v>
      </c>
      <c r="F39" s="63">
        <v>0</v>
      </c>
      <c r="G39" s="62">
        <v>0</v>
      </c>
      <c r="H39" s="62">
        <v>0</v>
      </c>
      <c r="I39" s="62">
        <v>0</v>
      </c>
      <c r="J39" s="63">
        <v>0</v>
      </c>
      <c r="K39" s="62">
        <v>0</v>
      </c>
      <c r="L39" s="62">
        <v>0</v>
      </c>
      <c r="M39" s="62">
        <v>0</v>
      </c>
      <c r="N39" s="64">
        <v>0</v>
      </c>
      <c r="O39" s="62"/>
      <c r="P39" s="62">
        <f t="shared" si="7"/>
        <v>7449828.5891831769</v>
      </c>
      <c r="Q39" s="56">
        <f>Q11</f>
        <v>7449828.5891882153</v>
      </c>
      <c r="R39" s="115">
        <f t="shared" si="8"/>
        <v>5.0384551286697388E-6</v>
      </c>
    </row>
    <row r="40" spans="1:18" x14ac:dyDescent="0.25">
      <c r="A40" s="57"/>
      <c r="B40" s="7" t="s">
        <v>91</v>
      </c>
      <c r="C40" s="62">
        <v>0</v>
      </c>
      <c r="D40" s="62">
        <v>14763270.907539135</v>
      </c>
      <c r="E40" s="62">
        <v>0</v>
      </c>
      <c r="F40" s="63">
        <v>0</v>
      </c>
      <c r="G40" s="62">
        <v>0</v>
      </c>
      <c r="H40" s="62">
        <v>0</v>
      </c>
      <c r="I40" s="62">
        <v>0</v>
      </c>
      <c r="J40" s="63">
        <v>0</v>
      </c>
      <c r="K40" s="62">
        <v>0</v>
      </c>
      <c r="L40" s="62">
        <v>0</v>
      </c>
      <c r="M40" s="62">
        <v>0</v>
      </c>
      <c r="N40" s="64">
        <v>0</v>
      </c>
      <c r="O40" s="62"/>
      <c r="P40" s="62">
        <f>SUM(C40:O40)</f>
        <v>14763270.907539135</v>
      </c>
      <c r="Q40" s="56">
        <f>Q12</f>
        <v>14763270.907534719</v>
      </c>
      <c r="R40" s="115">
        <f t="shared" si="8"/>
        <v>-4.4163316488265991E-6</v>
      </c>
    </row>
    <row r="41" spans="1:18" x14ac:dyDescent="0.25">
      <c r="A41" s="57"/>
      <c r="B41" s="7" t="s">
        <v>92</v>
      </c>
      <c r="C41" s="62">
        <v>0</v>
      </c>
      <c r="D41" s="62">
        <v>0</v>
      </c>
      <c r="E41" s="62">
        <v>3845397.4757382986</v>
      </c>
      <c r="F41" s="63">
        <v>0</v>
      </c>
      <c r="G41" s="62">
        <v>0</v>
      </c>
      <c r="H41" s="62">
        <v>0</v>
      </c>
      <c r="I41" s="62">
        <v>0</v>
      </c>
      <c r="J41" s="63">
        <v>0</v>
      </c>
      <c r="K41" s="62">
        <v>0</v>
      </c>
      <c r="L41" s="62">
        <v>0</v>
      </c>
      <c r="M41" s="62">
        <v>0</v>
      </c>
      <c r="N41" s="64">
        <v>0</v>
      </c>
      <c r="O41" s="62"/>
      <c r="P41" s="62">
        <f t="shared" ref="P41:P42" si="9">SUM(C41:O41)</f>
        <v>3845397.4757382986</v>
      </c>
      <c r="Q41" s="56">
        <f>Q13</f>
        <v>3845397.4757379903</v>
      </c>
      <c r="R41" s="115">
        <f t="shared" si="8"/>
        <v>-3.0826777219772339E-7</v>
      </c>
    </row>
    <row r="42" spans="1:18" x14ac:dyDescent="0.25">
      <c r="A42" s="57"/>
      <c r="B42" s="7" t="s">
        <v>93</v>
      </c>
      <c r="C42" s="66">
        <v>0</v>
      </c>
      <c r="D42" s="66">
        <v>0</v>
      </c>
      <c r="E42" s="66">
        <v>0</v>
      </c>
      <c r="F42" s="67">
        <v>3100061.9108391204</v>
      </c>
      <c r="G42" s="124">
        <v>0</v>
      </c>
      <c r="H42" s="66">
        <v>0</v>
      </c>
      <c r="I42" s="66">
        <v>0</v>
      </c>
      <c r="J42" s="67">
        <v>0</v>
      </c>
      <c r="K42" s="66">
        <v>0</v>
      </c>
      <c r="L42" s="66">
        <v>0</v>
      </c>
      <c r="M42" s="66">
        <v>0</v>
      </c>
      <c r="N42" s="68">
        <v>0</v>
      </c>
      <c r="O42" s="62"/>
      <c r="P42" s="62">
        <f t="shared" si="9"/>
        <v>3100061.9108391204</v>
      </c>
      <c r="Q42" s="56">
        <f>Q14</f>
        <v>3100061.9108390249</v>
      </c>
      <c r="R42" s="115">
        <f t="shared" si="8"/>
        <v>-9.5460563898086548E-8</v>
      </c>
    </row>
    <row r="43" spans="1:18" x14ac:dyDescent="0.25">
      <c r="A43" s="14"/>
      <c r="B43" s="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71">
        <f>SUM(P35:P42)</f>
        <v>84340867.423234731</v>
      </c>
      <c r="Q43" s="71">
        <f>SUM(Q35:Q42)</f>
        <v>84340867.423234716</v>
      </c>
      <c r="R43" s="13"/>
    </row>
    <row r="44" spans="1:18" x14ac:dyDescent="0.25">
      <c r="A44" s="14"/>
      <c r="B44" s="9" t="s">
        <v>77</v>
      </c>
      <c r="C44" s="62">
        <f>SUM(C35:C42)</f>
        <v>13475212.938071486</v>
      </c>
      <c r="D44" s="62">
        <f>SUM(D35:D42)</f>
        <v>27770755.032137435</v>
      </c>
      <c r="E44" s="62">
        <f>SUM(E35:E41)</f>
        <v>7933043.8338463791</v>
      </c>
      <c r="F44" s="62">
        <f>SUM(F35:F42)</f>
        <v>6003296.7358794827</v>
      </c>
      <c r="G44" s="62">
        <f>SUM(G35:G42)</f>
        <v>6069276.4055192266</v>
      </c>
      <c r="H44" s="62">
        <f t="shared" ref="H44:N44" si="10">SUM(H35:H40)</f>
        <v>11363261.151588723</v>
      </c>
      <c r="I44" s="62">
        <f t="shared" si="10"/>
        <v>2751462.3840119871</v>
      </c>
      <c r="J44" s="62">
        <f t="shared" si="10"/>
        <v>2278077.373464026</v>
      </c>
      <c r="K44" s="62">
        <f t="shared" si="10"/>
        <v>1380552.1836689888</v>
      </c>
      <c r="L44" s="62">
        <f t="shared" si="10"/>
        <v>3400009.7559459996</v>
      </c>
      <c r="M44" s="62">
        <f t="shared" si="10"/>
        <v>1093935.091726003</v>
      </c>
      <c r="N44" s="62">
        <f t="shared" si="10"/>
        <v>821984.53737499891</v>
      </c>
      <c r="O44" s="71">
        <f>SUM(C44:N44)</f>
        <v>84340867.423234746</v>
      </c>
      <c r="P44" s="62">
        <f>P43-O44</f>
        <v>0</v>
      </c>
      <c r="Q44" s="2"/>
      <c r="R44" s="13"/>
    </row>
    <row r="45" spans="1:18" x14ac:dyDescent="0.25">
      <c r="A45" s="14"/>
      <c r="B45" s="7" t="s">
        <v>78</v>
      </c>
      <c r="C45" s="116">
        <f>C17</f>
        <v>13475212.938071484</v>
      </c>
      <c r="D45" s="116">
        <f>D17</f>
        <v>27770755.032137431</v>
      </c>
      <c r="E45" s="116">
        <f>E17</f>
        <v>7933043.8338463791</v>
      </c>
      <c r="F45" s="116">
        <f>F17</f>
        <v>6003296.7358794827</v>
      </c>
      <c r="G45" s="116">
        <f>G17</f>
        <v>6069276.4055192266</v>
      </c>
      <c r="H45" s="116">
        <f>H17</f>
        <v>11363261.151588719</v>
      </c>
      <c r="I45" s="116">
        <f>I17</f>
        <v>2751462.3840119876</v>
      </c>
      <c r="J45" s="116">
        <f>J17</f>
        <v>2278077.373464026</v>
      </c>
      <c r="K45" s="116">
        <f>K17</f>
        <v>1380552.183668989</v>
      </c>
      <c r="L45" s="116">
        <f>L17</f>
        <v>3400009.7559459996</v>
      </c>
      <c r="M45" s="116">
        <f>M17</f>
        <v>1093935.0917260027</v>
      </c>
      <c r="N45" s="116">
        <f>N17</f>
        <v>821984.53737499902</v>
      </c>
      <c r="O45" s="71">
        <f>SUM(C45:N45)</f>
        <v>84340867.423234716</v>
      </c>
      <c r="P45" s="2"/>
      <c r="Q45" s="120"/>
      <c r="R45" s="13"/>
    </row>
    <row r="46" spans="1:18" x14ac:dyDescent="0.25">
      <c r="A46" s="19"/>
      <c r="B46" s="20"/>
      <c r="C46" s="119">
        <f>C45-C44</f>
        <v>0</v>
      </c>
      <c r="D46" s="119">
        <f t="shared" ref="D46:N46" si="11">D45-D44</f>
        <v>0</v>
      </c>
      <c r="E46" s="119">
        <f t="shared" si="11"/>
        <v>0</v>
      </c>
      <c r="F46" s="119">
        <f t="shared" si="11"/>
        <v>0</v>
      </c>
      <c r="G46" s="119">
        <f t="shared" si="11"/>
        <v>0</v>
      </c>
      <c r="H46" s="119">
        <f t="shared" si="11"/>
        <v>0</v>
      </c>
      <c r="I46" s="119">
        <f t="shared" si="11"/>
        <v>0</v>
      </c>
      <c r="J46" s="119">
        <f t="shared" si="11"/>
        <v>0</v>
      </c>
      <c r="K46" s="119">
        <f t="shared" si="11"/>
        <v>0</v>
      </c>
      <c r="L46" s="119">
        <f t="shared" si="11"/>
        <v>0</v>
      </c>
      <c r="M46" s="119">
        <f t="shared" si="11"/>
        <v>0</v>
      </c>
      <c r="N46" s="119">
        <f t="shared" si="11"/>
        <v>0</v>
      </c>
      <c r="O46" s="20"/>
      <c r="P46" s="20"/>
      <c r="Q46" s="20"/>
      <c r="R46" s="21"/>
    </row>
    <row r="48" spans="1:18" x14ac:dyDescent="0.25">
      <c r="A48" s="59" t="s">
        <v>85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5"/>
    </row>
    <row r="49" spans="1:18" x14ac:dyDescent="0.25">
      <c r="A49" s="14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13"/>
    </row>
    <row r="50" spans="1:18" x14ac:dyDescent="0.25">
      <c r="A50" s="14"/>
      <c r="B50" s="2"/>
      <c r="C50" s="152" t="s">
        <v>11</v>
      </c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2"/>
      <c r="P50" s="7" t="s">
        <v>13</v>
      </c>
      <c r="Q50" s="2"/>
      <c r="R50" s="13"/>
    </row>
    <row r="51" spans="1:18" x14ac:dyDescent="0.25">
      <c r="A51" s="14"/>
      <c r="B51" s="2"/>
      <c r="C51" s="146" t="s">
        <v>1</v>
      </c>
      <c r="D51" s="145"/>
      <c r="E51" s="145"/>
      <c r="F51" s="147"/>
      <c r="G51" s="145" t="s">
        <v>5</v>
      </c>
      <c r="H51" s="145"/>
      <c r="I51" s="145"/>
      <c r="J51" s="147"/>
      <c r="K51" s="148" t="s">
        <v>3</v>
      </c>
      <c r="L51" s="145"/>
      <c r="M51" s="145"/>
      <c r="N51" s="149"/>
      <c r="O51" s="2"/>
      <c r="P51" s="2"/>
      <c r="Q51" s="2"/>
      <c r="R51" s="13"/>
    </row>
    <row r="52" spans="1:18" ht="15.75" thickBot="1" x14ac:dyDescent="0.3">
      <c r="A52" s="14"/>
      <c r="B52" s="2"/>
      <c r="C52" s="72" t="s">
        <v>7</v>
      </c>
      <c r="D52" s="73" t="s">
        <v>8</v>
      </c>
      <c r="E52" s="73" t="s">
        <v>9</v>
      </c>
      <c r="F52" s="74" t="s">
        <v>0</v>
      </c>
      <c r="G52" s="73" t="s">
        <v>7</v>
      </c>
      <c r="H52" s="73" t="s">
        <v>8</v>
      </c>
      <c r="I52" s="73" t="s">
        <v>9</v>
      </c>
      <c r="J52" s="74" t="s">
        <v>0</v>
      </c>
      <c r="K52" s="73" t="s">
        <v>7</v>
      </c>
      <c r="L52" s="73" t="s">
        <v>8</v>
      </c>
      <c r="M52" s="73" t="s">
        <v>9</v>
      </c>
      <c r="N52" s="75" t="s">
        <v>0</v>
      </c>
      <c r="O52" s="2"/>
      <c r="P52" s="2"/>
      <c r="Q52" s="2"/>
      <c r="R52" s="13"/>
    </row>
    <row r="53" spans="1:18" ht="15.75" thickTop="1" x14ac:dyDescent="0.25">
      <c r="A53" s="150" t="s">
        <v>10</v>
      </c>
      <c r="B53" s="7" t="s">
        <v>7</v>
      </c>
      <c r="C53" s="61">
        <f>C35</f>
        <v>5584844.0888938438</v>
      </c>
      <c r="D53" s="62">
        <f t="shared" ref="D53:N53" si="12">D35</f>
        <v>255279.65553429612</v>
      </c>
      <c r="E53" s="62">
        <f t="shared" si="12"/>
        <v>101767.42729966232</v>
      </c>
      <c r="F53" s="63">
        <f t="shared" si="12"/>
        <v>181141.27996116076</v>
      </c>
      <c r="G53" s="62">
        <f t="shared" si="12"/>
        <v>5867262.4424776854</v>
      </c>
      <c r="H53" s="62">
        <f t="shared" si="12"/>
        <v>93673.103677839434</v>
      </c>
      <c r="I53" s="62">
        <f t="shared" si="12"/>
        <v>26263.156265772657</v>
      </c>
      <c r="J53" s="63">
        <f t="shared" si="12"/>
        <v>30185.464546718667</v>
      </c>
      <c r="K53" s="62">
        <f t="shared" si="12"/>
        <v>1228430.404399208</v>
      </c>
      <c r="L53" s="62">
        <f t="shared" si="12"/>
        <v>57433.616809549116</v>
      </c>
      <c r="M53" s="62">
        <f t="shared" si="12"/>
        <v>25175.577535009244</v>
      </c>
      <c r="N53" s="64">
        <f t="shared" si="12"/>
        <v>23756.720662737436</v>
      </c>
      <c r="O53" s="2"/>
      <c r="P53" s="2">
        <f>SUM(C53:N53)</f>
        <v>13475212.938063484</v>
      </c>
      <c r="Q53" s="2"/>
      <c r="R53" s="13"/>
    </row>
    <row r="54" spans="1:18" x14ac:dyDescent="0.25">
      <c r="A54" s="150"/>
      <c r="B54" s="7" t="s">
        <v>8</v>
      </c>
      <c r="C54" s="61">
        <f t="shared" ref="C54:N56" si="13">C36</f>
        <v>233119.08221062407</v>
      </c>
      <c r="D54" s="62">
        <f t="shared" si="13"/>
        <v>12167615.843802262</v>
      </c>
      <c r="E54" s="62">
        <f t="shared" si="13"/>
        <v>231083.60538756629</v>
      </c>
      <c r="F54" s="63">
        <f t="shared" si="13"/>
        <v>325223.43441011378</v>
      </c>
      <c r="G54" s="62">
        <f t="shared" si="13"/>
        <v>84646.372236560041</v>
      </c>
      <c r="H54" s="62">
        <f t="shared" si="13"/>
        <v>11025058.379034571</v>
      </c>
      <c r="I54" s="62">
        <f t="shared" si="13"/>
        <v>70538.684120418227</v>
      </c>
      <c r="J54" s="63">
        <f t="shared" si="13"/>
        <v>75290.209212554604</v>
      </c>
      <c r="K54" s="62">
        <f t="shared" si="13"/>
        <v>98317.777547751772</v>
      </c>
      <c r="L54" s="62">
        <f t="shared" si="13"/>
        <v>3279969.7532823854</v>
      </c>
      <c r="M54" s="62">
        <f t="shared" si="13"/>
        <v>77366.78059086416</v>
      </c>
      <c r="N54" s="64">
        <f t="shared" si="13"/>
        <v>102525.11030918248</v>
      </c>
      <c r="O54" s="2"/>
      <c r="P54" s="2">
        <f t="shared" ref="P54:P57" si="14">SUM(C54:N54)</f>
        <v>27770755.032144852</v>
      </c>
      <c r="Q54" s="2"/>
      <c r="R54" s="13"/>
    </row>
    <row r="55" spans="1:18" x14ac:dyDescent="0.25">
      <c r="A55" s="150"/>
      <c r="B55" s="7" t="s">
        <v>9</v>
      </c>
      <c r="C55" s="61">
        <f t="shared" si="13"/>
        <v>88197.078054740763</v>
      </c>
      <c r="D55" s="62">
        <f t="shared" si="13"/>
        <v>242652.30041768891</v>
      </c>
      <c r="E55" s="62">
        <f t="shared" si="13"/>
        <v>3618926.8692085594</v>
      </c>
      <c r="F55" s="63">
        <f t="shared" si="13"/>
        <v>91126.803253930571</v>
      </c>
      <c r="G55" s="62">
        <f t="shared" si="13"/>
        <v>63645.30258842359</v>
      </c>
      <c r="H55" s="62">
        <f t="shared" si="13"/>
        <v>127033.00564506746</v>
      </c>
      <c r="I55" s="62">
        <f t="shared" si="13"/>
        <v>2621535.8816721882</v>
      </c>
      <c r="J55" s="63">
        <f t="shared" si="13"/>
        <v>19498.494512924408</v>
      </c>
      <c r="K55" s="62">
        <f t="shared" si="13"/>
        <v>28514.123072725586</v>
      </c>
      <c r="L55" s="62">
        <f t="shared" si="13"/>
        <v>29816.162874936439</v>
      </c>
      <c r="M55" s="62">
        <f t="shared" si="13"/>
        <v>980619.21509131265</v>
      </c>
      <c r="N55" s="64">
        <f t="shared" si="13"/>
        <v>21478.597454459115</v>
      </c>
      <c r="O55" s="2"/>
      <c r="P55" s="2">
        <f t="shared" si="14"/>
        <v>7933043.8338469565</v>
      </c>
      <c r="Q55" s="2"/>
      <c r="R55" s="13"/>
    </row>
    <row r="56" spans="1:18" x14ac:dyDescent="0.25">
      <c r="A56" s="150"/>
      <c r="B56" s="7" t="s">
        <v>0</v>
      </c>
      <c r="C56" s="61">
        <f t="shared" si="13"/>
        <v>119224.09972909895</v>
      </c>
      <c r="D56" s="62">
        <f t="shared" si="13"/>
        <v>341936.32484405226</v>
      </c>
      <c r="E56" s="62">
        <f t="shared" si="13"/>
        <v>135868.45621229213</v>
      </c>
      <c r="F56" s="63">
        <f t="shared" si="13"/>
        <v>2305743.3074151571</v>
      </c>
      <c r="G56" s="62">
        <f t="shared" si="13"/>
        <v>53722.288216557616</v>
      </c>
      <c r="H56" s="62">
        <f t="shared" si="13"/>
        <v>117496.66323124441</v>
      </c>
      <c r="I56" s="62">
        <f t="shared" si="13"/>
        <v>33124.6619536082</v>
      </c>
      <c r="J56" s="63">
        <f t="shared" si="13"/>
        <v>2153103.2051918283</v>
      </c>
      <c r="K56" s="62">
        <f t="shared" si="13"/>
        <v>25289.878649303475</v>
      </c>
      <c r="L56" s="62">
        <f t="shared" si="13"/>
        <v>32790.222979128266</v>
      </c>
      <c r="M56" s="62">
        <f t="shared" si="13"/>
        <v>10773.518508816824</v>
      </c>
      <c r="N56" s="64">
        <f t="shared" si="13"/>
        <v>674224.10894861992</v>
      </c>
      <c r="O56" s="2"/>
      <c r="P56" s="2">
        <f t="shared" si="14"/>
        <v>6003296.7358797081</v>
      </c>
      <c r="Q56" s="2"/>
      <c r="R56" s="13"/>
    </row>
    <row r="57" spans="1:18" x14ac:dyDescent="0.25">
      <c r="A57" s="57"/>
      <c r="B57" s="7" t="s">
        <v>2</v>
      </c>
      <c r="C57" s="65">
        <f>C39</f>
        <v>7449828.5891831769</v>
      </c>
      <c r="D57" s="66">
        <f>D40</f>
        <v>14763270.907539135</v>
      </c>
      <c r="E57" s="66">
        <f>E41</f>
        <v>3845397.4757382986</v>
      </c>
      <c r="F57" s="67">
        <f>F42</f>
        <v>3100061.9108391204</v>
      </c>
      <c r="G57" s="66">
        <f>SUM(G39:G42)</f>
        <v>0</v>
      </c>
      <c r="H57" s="66">
        <f t="shared" ref="H57:N57" si="15">SUM(H39:H42)</f>
        <v>0</v>
      </c>
      <c r="I57" s="66">
        <f t="shared" si="15"/>
        <v>0</v>
      </c>
      <c r="J57" s="67">
        <f t="shared" si="15"/>
        <v>0</v>
      </c>
      <c r="K57" s="66">
        <f t="shared" si="15"/>
        <v>0</v>
      </c>
      <c r="L57" s="66">
        <f t="shared" si="15"/>
        <v>0</v>
      </c>
      <c r="M57" s="66">
        <f t="shared" si="15"/>
        <v>0</v>
      </c>
      <c r="N57" s="68">
        <f t="shared" si="15"/>
        <v>0</v>
      </c>
      <c r="O57" s="2"/>
      <c r="P57" s="2">
        <f t="shared" si="14"/>
        <v>29158558.883299731</v>
      </c>
      <c r="Q57" s="2"/>
      <c r="R57" s="13"/>
    </row>
    <row r="58" spans="1:18" x14ac:dyDescent="0.25">
      <c r="A58" s="14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7">
        <f>SUM(P53:P57)</f>
        <v>84340867.423234731</v>
      </c>
      <c r="Q58" s="2"/>
      <c r="R58" s="13"/>
    </row>
    <row r="59" spans="1:18" x14ac:dyDescent="0.25">
      <c r="A59" s="14"/>
      <c r="B59" s="9" t="s">
        <v>12</v>
      </c>
      <c r="C59" s="2">
        <f>SUM(C53:C57)</f>
        <v>13475212.938071486</v>
      </c>
      <c r="D59" s="2">
        <f t="shared" ref="D59:N59" si="16">SUM(D53:D57)</f>
        <v>27770755.032137435</v>
      </c>
      <c r="E59" s="2">
        <f t="shared" si="16"/>
        <v>7933043.8338463791</v>
      </c>
      <c r="F59" s="2">
        <f t="shared" si="16"/>
        <v>6003296.7358794827</v>
      </c>
      <c r="G59" s="2">
        <f t="shared" si="16"/>
        <v>6069276.4055192266</v>
      </c>
      <c r="H59" s="2">
        <f t="shared" si="16"/>
        <v>11363261.151588723</v>
      </c>
      <c r="I59" s="2">
        <f t="shared" si="16"/>
        <v>2751462.3840119871</v>
      </c>
      <c r="J59" s="2">
        <f t="shared" si="16"/>
        <v>2278077.373464026</v>
      </c>
      <c r="K59" s="2">
        <f t="shared" si="16"/>
        <v>1380552.1836689888</v>
      </c>
      <c r="L59" s="2">
        <f t="shared" si="16"/>
        <v>3400009.7559459996</v>
      </c>
      <c r="M59" s="2">
        <f t="shared" si="16"/>
        <v>1093935.091726003</v>
      </c>
      <c r="N59" s="2">
        <f t="shared" si="16"/>
        <v>821984.53737499891</v>
      </c>
      <c r="O59" s="7">
        <f>SUM(C59:N59)</f>
        <v>84340867.423234746</v>
      </c>
      <c r="P59" s="2"/>
      <c r="Q59" s="2"/>
      <c r="R59" s="13"/>
    </row>
    <row r="60" spans="1:18" x14ac:dyDescent="0.25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1"/>
    </row>
    <row r="63" spans="1:18" x14ac:dyDescent="0.25">
      <c r="C63" s="3" t="s">
        <v>7</v>
      </c>
      <c r="D63" s="3" t="s">
        <v>8</v>
      </c>
      <c r="E63" s="3" t="s">
        <v>9</v>
      </c>
      <c r="F63" s="3" t="s">
        <v>0</v>
      </c>
    </row>
    <row r="64" spans="1:18" x14ac:dyDescent="0.25">
      <c r="B64" s="42" t="s">
        <v>44</v>
      </c>
      <c r="C64" s="3"/>
      <c r="D64" s="3"/>
      <c r="E64" s="3"/>
      <c r="F64" s="3"/>
    </row>
    <row r="65" spans="2:6" x14ac:dyDescent="0.25">
      <c r="B65" s="3" t="s">
        <v>4</v>
      </c>
      <c r="C65" s="76">
        <f>C57</f>
        <v>7449828.5891831769</v>
      </c>
      <c r="D65" s="76">
        <f t="shared" ref="D65:F65" si="17">D57</f>
        <v>14763270.907539135</v>
      </c>
      <c r="E65" s="76">
        <f t="shared" si="17"/>
        <v>3845397.4757382986</v>
      </c>
      <c r="F65" s="76">
        <f t="shared" si="17"/>
        <v>3100061.9108391204</v>
      </c>
    </row>
    <row r="66" spans="2:6" x14ac:dyDescent="0.25">
      <c r="B66" s="3" t="s">
        <v>6</v>
      </c>
      <c r="C66" s="76">
        <f>C59</f>
        <v>13475212.938071486</v>
      </c>
      <c r="D66" s="76">
        <f t="shared" ref="D66:F66" si="18">D59</f>
        <v>27770755.032137435</v>
      </c>
      <c r="E66" s="76">
        <f t="shared" si="18"/>
        <v>7933043.8338463791</v>
      </c>
      <c r="F66" s="76">
        <f t="shared" si="18"/>
        <v>6003296.7358794827</v>
      </c>
    </row>
    <row r="67" spans="2:6" x14ac:dyDescent="0.25">
      <c r="B67" s="3"/>
      <c r="C67" s="76"/>
      <c r="D67" s="76"/>
      <c r="E67" s="76"/>
      <c r="F67" s="76"/>
    </row>
    <row r="68" spans="2:6" x14ac:dyDescent="0.25">
      <c r="B68" s="42" t="s">
        <v>45</v>
      </c>
      <c r="C68" s="76"/>
      <c r="D68" s="76"/>
      <c r="E68" s="76"/>
      <c r="F68" s="76"/>
    </row>
    <row r="69" spans="2:6" x14ac:dyDescent="0.25">
      <c r="B69" s="3" t="s">
        <v>30</v>
      </c>
      <c r="C69" s="76">
        <f>SUM(D53:F53,H53:J53,L53:N53)</f>
        <v>794676.00229274563</v>
      </c>
      <c r="D69" s="76">
        <f>SUM(C54,E54:F54,G54,I54:J54,K54,M54:N54)</f>
        <v>1298111.0560256355</v>
      </c>
      <c r="E69" s="76">
        <f>SUM(C55:D55,F55,G55:H55,J55,K55:L55,N55)</f>
        <v>711961.86787489709</v>
      </c>
      <c r="F69" s="76">
        <f>SUM(C56:E56,G56:I56,K56:M56)</f>
        <v>870226.11432410206</v>
      </c>
    </row>
    <row r="70" spans="2:6" x14ac:dyDescent="0.25">
      <c r="B70" s="3" t="s">
        <v>31</v>
      </c>
      <c r="C70" s="76">
        <f>SUM(C54:C56,G54:G56,K54:K56)</f>
        <v>794676.00230578589</v>
      </c>
      <c r="D70" s="76">
        <f>SUM(D53,D55:D56,H53,H55:H56,L53,L55:L56)</f>
        <v>1298111.0560138023</v>
      </c>
      <c r="E70" s="76">
        <f>SUM(E53:E54,E56,I53:I54,I56,M53:M54,M56)</f>
        <v>711961.86787401</v>
      </c>
      <c r="F70" s="76">
        <f>SUM(F53:F55,J53:J55,N53:N55)</f>
        <v>870226.1143237818</v>
      </c>
    </row>
    <row r="71" spans="2:6" x14ac:dyDescent="0.25">
      <c r="B71" s="3" t="s">
        <v>32</v>
      </c>
      <c r="C71" s="76">
        <f>C69-C70</f>
        <v>-1.3040262274444103E-5</v>
      </c>
      <c r="D71" s="76">
        <f t="shared" ref="D71:F71" si="19">D69-D70</f>
        <v>1.1833151802420616E-5</v>
      </c>
      <c r="E71" s="76">
        <f t="shared" si="19"/>
        <v>8.8708475232124329E-7</v>
      </c>
      <c r="F71" s="76">
        <f t="shared" si="19"/>
        <v>3.2025855034589767E-7</v>
      </c>
    </row>
    <row r="72" spans="2:6" x14ac:dyDescent="0.25">
      <c r="B72" s="3" t="s">
        <v>46</v>
      </c>
      <c r="C72" s="76">
        <f>C69/C$65</f>
        <v>0.1066703740602274</v>
      </c>
      <c r="D72" s="76">
        <f>D69/D$65</f>
        <v>8.7928418042016093E-2</v>
      </c>
      <c r="E72" s="76">
        <f>E69/E$65</f>
        <v>0.18514649587379875</v>
      </c>
      <c r="F72" s="76">
        <f>F69/F$65</f>
        <v>0.28071249521870051</v>
      </c>
    </row>
    <row r="73" spans="2:6" x14ac:dyDescent="0.25">
      <c r="B73" s="3" t="s">
        <v>47</v>
      </c>
      <c r="C73" s="76">
        <f>C70/C$65</f>
        <v>0.10667037406197781</v>
      </c>
      <c r="D73" s="76">
        <f>D70/D$65</f>
        <v>8.7928418041214568E-2</v>
      </c>
      <c r="E73" s="76">
        <f>E70/E$65</f>
        <v>0.18514649587356807</v>
      </c>
      <c r="F73" s="76">
        <f>F70/F$65</f>
        <v>0.2807124952185972</v>
      </c>
    </row>
    <row r="74" spans="2:6" x14ac:dyDescent="0.25">
      <c r="B74" s="3" t="s">
        <v>48</v>
      </c>
      <c r="C74" s="76">
        <f>C71/C$65</f>
        <v>-1.750411048836478E-12</v>
      </c>
      <c r="D74" s="76">
        <f>D71/D$65</f>
        <v>8.0152642842703652E-13</v>
      </c>
      <c r="E74" s="76">
        <f>E71/E$65</f>
        <v>2.306874017362606E-13</v>
      </c>
      <c r="F74" s="76">
        <f>F71/F$65</f>
        <v>1.0330714661734306E-13</v>
      </c>
    </row>
    <row r="75" spans="2:6" x14ac:dyDescent="0.25">
      <c r="B75" s="3" t="s">
        <v>119</v>
      </c>
      <c r="C75" s="76">
        <f>(C69+C70)/(C$65)</f>
        <v>0.21334074812220519</v>
      </c>
      <c r="D75" s="76">
        <f>(D69+D70)/(D$65)</f>
        <v>0.17585683608323066</v>
      </c>
      <c r="E75" s="76">
        <f>(E69+E70)/(E$65)</f>
        <v>0.37029299174736685</v>
      </c>
      <c r="F75" s="76">
        <f>(F69+F70)/(F$65)</f>
        <v>0.56142499043729766</v>
      </c>
    </row>
    <row r="76" spans="2:6" x14ac:dyDescent="0.25">
      <c r="B76" s="3" t="s">
        <v>94</v>
      </c>
      <c r="C76" s="136">
        <f>C71/SUM($C$65:$F$65)</f>
        <v>-4.4721902500856385E-13</v>
      </c>
      <c r="D76" s="136">
        <f>D71/SUM($C$65:$F$65)</f>
        <v>4.0582087234763631E-13</v>
      </c>
      <c r="E76" s="136">
        <f>E71/SUM($C$65:$F$65)</f>
        <v>3.0422791327636982E-14</v>
      </c>
      <c r="F76" s="136">
        <f>F71/SUM($C$65:$F$65)</f>
        <v>1.0983346317890989E-14</v>
      </c>
    </row>
    <row r="77" spans="2:6" x14ac:dyDescent="0.25">
      <c r="B77" s="3"/>
      <c r="C77" s="76"/>
      <c r="D77" s="76"/>
      <c r="E77" s="76"/>
      <c r="F77" s="76"/>
    </row>
    <row r="78" spans="2:6" x14ac:dyDescent="0.25">
      <c r="B78" s="42" t="s">
        <v>49</v>
      </c>
      <c r="C78" s="76"/>
      <c r="D78" s="76"/>
      <c r="E78" s="76"/>
      <c r="F78" s="76"/>
    </row>
    <row r="79" spans="2:6" x14ac:dyDescent="0.25">
      <c r="B79" s="3" t="s">
        <v>33</v>
      </c>
      <c r="C79" s="76">
        <f>SUM(D53:F53)</f>
        <v>538188.36279511917</v>
      </c>
      <c r="D79" s="76">
        <f>SUM(C54,E54:F54)</f>
        <v>789426.12200830411</v>
      </c>
      <c r="E79" s="76">
        <f>SUM(C55:D55,F55)</f>
        <v>421976.18172636029</v>
      </c>
      <c r="F79" s="76">
        <f>SUM(C56:E56)</f>
        <v>597028.88078544335</v>
      </c>
    </row>
    <row r="80" spans="2:6" x14ac:dyDescent="0.25">
      <c r="B80" s="3" t="s">
        <v>34</v>
      </c>
      <c r="C80" s="76">
        <f>SUM(C54:C56)</f>
        <v>440540.25999446376</v>
      </c>
      <c r="D80" s="76">
        <f>SUM(D53,D55:D56)</f>
        <v>839868.28079603729</v>
      </c>
      <c r="E80" s="76">
        <f>SUM(E53:E54,E56)</f>
        <v>468719.48889952077</v>
      </c>
      <c r="F80" s="76">
        <f>SUM(F53:F55)</f>
        <v>597491.5176252051</v>
      </c>
    </row>
    <row r="81" spans="2:6" x14ac:dyDescent="0.25">
      <c r="B81" s="3" t="s">
        <v>35</v>
      </c>
      <c r="C81" s="76">
        <f>C79-C80</f>
        <v>97648.102800655412</v>
      </c>
      <c r="D81" s="76">
        <f t="shared" ref="D81:F81" si="20">D79-D80</f>
        <v>-50442.158787733177</v>
      </c>
      <c r="E81" s="76">
        <f t="shared" si="20"/>
        <v>-46743.307173160487</v>
      </c>
      <c r="F81" s="76">
        <f t="shared" si="20"/>
        <v>-462.63683976174798</v>
      </c>
    </row>
    <row r="82" spans="2:6" x14ac:dyDescent="0.25">
      <c r="B82" s="3" t="s">
        <v>51</v>
      </c>
      <c r="C82" s="76">
        <f>C79/C$65</f>
        <v>7.2241710846413967E-2</v>
      </c>
      <c r="D82" s="76">
        <f>D79/D$65</f>
        <v>5.347230481323547E-2</v>
      </c>
      <c r="E82" s="76">
        <f>E79/E$65</f>
        <v>0.10973538740500234</v>
      </c>
      <c r="F82" s="76">
        <f>F79/F$65</f>
        <v>0.19258611536046402</v>
      </c>
    </row>
    <row r="83" spans="2:6" x14ac:dyDescent="0.25">
      <c r="B83" s="3" t="s">
        <v>52</v>
      </c>
      <c r="C83" s="76">
        <f>C80/C$65</f>
        <v>5.9134281375830419E-2</v>
      </c>
      <c r="D83" s="76">
        <f>D80/D$65</f>
        <v>5.6889038076727509E-2</v>
      </c>
      <c r="E83" s="76">
        <f>E80/E$65</f>
        <v>0.12189103775534382</v>
      </c>
      <c r="F83" s="76">
        <f>F80/F$65</f>
        <v>0.19273535007030776</v>
      </c>
    </row>
    <row r="84" spans="2:6" x14ac:dyDescent="0.25">
      <c r="B84" s="3" t="s">
        <v>53</v>
      </c>
      <c r="C84" s="76">
        <f>C81/C$65</f>
        <v>1.3107429470583546E-2</v>
      </c>
      <c r="D84" s="76">
        <f>D81/D$65</f>
        <v>-3.4167332634920332E-3</v>
      </c>
      <c r="E84" s="76">
        <f>E81/E$65</f>
        <v>-1.2155650350341479E-2</v>
      </c>
      <c r="F84" s="76">
        <f>F81/F$65</f>
        <v>-1.4923470984375345E-4</v>
      </c>
    </row>
    <row r="85" spans="2:6" x14ac:dyDescent="0.25">
      <c r="B85" s="3" t="s">
        <v>98</v>
      </c>
      <c r="C85" s="76">
        <f>C80/(C66-C65)</f>
        <v>7.3114051234879976E-2</v>
      </c>
      <c r="D85" s="76">
        <f t="shared" ref="D85:F85" si="21">D80/(D66-D65)</f>
        <v>6.4568080402863784E-2</v>
      </c>
      <c r="E85" s="76">
        <f t="shared" si="21"/>
        <v>0.11466732878439663</v>
      </c>
      <c r="F85" s="76">
        <f t="shared" si="21"/>
        <v>0.20580199454479142</v>
      </c>
    </row>
    <row r="86" spans="2:6" x14ac:dyDescent="0.25">
      <c r="B86" s="3" t="s">
        <v>158</v>
      </c>
      <c r="C86" s="76">
        <f>(C79+C80)/(C69+C70)</f>
        <v>0.6158035601665276</v>
      </c>
      <c r="D86" s="76">
        <f>(D79+D80)/(D69+D70)</f>
        <v>0.62756356447656347</v>
      </c>
      <c r="E86" s="76">
        <f>(E79+E80)/(E69+E70)</f>
        <v>0.6255220334236673</v>
      </c>
      <c r="F86" s="76">
        <f>(F79+F80)/(F69+F70)</f>
        <v>0.68632759851078651</v>
      </c>
    </row>
    <row r="87" spans="2:6" x14ac:dyDescent="0.25">
      <c r="B87" s="3"/>
      <c r="C87" s="76"/>
      <c r="D87" s="76"/>
      <c r="E87" s="76"/>
      <c r="F87" s="76"/>
    </row>
    <row r="88" spans="2:6" x14ac:dyDescent="0.25">
      <c r="B88" s="42" t="s">
        <v>50</v>
      </c>
      <c r="C88" s="76"/>
      <c r="D88" s="76"/>
      <c r="E88" s="76"/>
      <c r="F88" s="76"/>
    </row>
    <row r="89" spans="2:6" x14ac:dyDescent="0.25">
      <c r="B89" s="3" t="s">
        <v>36</v>
      </c>
      <c r="C89" s="76">
        <f>C69-C79</f>
        <v>256487.63949762646</v>
      </c>
      <c r="D89" s="76">
        <f>D69-D79</f>
        <v>508684.93401733134</v>
      </c>
      <c r="E89" s="76">
        <f>E69-E79</f>
        <v>289985.6861485368</v>
      </c>
      <c r="F89" s="76">
        <f>F69-F79</f>
        <v>273197.23353865871</v>
      </c>
    </row>
    <row r="90" spans="2:6" x14ac:dyDescent="0.25">
      <c r="B90" s="3" t="s">
        <v>37</v>
      </c>
      <c r="C90" s="76">
        <f>C70-C80</f>
        <v>354135.74231132213</v>
      </c>
      <c r="D90" s="76">
        <f>D70-D80</f>
        <v>458242.77521776501</v>
      </c>
      <c r="E90" s="76">
        <f>E70-E80</f>
        <v>243242.37897448923</v>
      </c>
      <c r="F90" s="76">
        <f>F70-F80</f>
        <v>272734.5966985767</v>
      </c>
    </row>
    <row r="91" spans="2:6" x14ac:dyDescent="0.25">
      <c r="B91" s="3" t="s">
        <v>38</v>
      </c>
      <c r="C91" s="76">
        <f>C89-C90</f>
        <v>-97648.102813695674</v>
      </c>
      <c r="D91" s="76">
        <f t="shared" ref="D91:F91" si="22">D89-D90</f>
        <v>50442.158799566329</v>
      </c>
      <c r="E91" s="76">
        <f t="shared" si="22"/>
        <v>46743.307174047572</v>
      </c>
      <c r="F91" s="76">
        <f t="shared" si="22"/>
        <v>462.63684008200653</v>
      </c>
    </row>
    <row r="92" spans="2:6" x14ac:dyDescent="0.25">
      <c r="B92" s="3" t="s">
        <v>54</v>
      </c>
      <c r="C92" s="76">
        <f>C89/C$65</f>
        <v>3.442866321381343E-2</v>
      </c>
      <c r="D92" s="76">
        <f>D89/D$65</f>
        <v>3.4456113228780623E-2</v>
      </c>
      <c r="E92" s="76">
        <f>E89/E$65</f>
        <v>7.5411108468796423E-2</v>
      </c>
      <c r="F92" s="76">
        <f>F89/F$65</f>
        <v>8.8126379858236459E-2</v>
      </c>
    </row>
    <row r="93" spans="2:6" x14ac:dyDescent="0.25">
      <c r="B93" s="3" t="s">
        <v>55</v>
      </c>
      <c r="C93" s="76">
        <f>C90/C$65</f>
        <v>4.7536092686147391E-2</v>
      </c>
      <c r="D93" s="76">
        <f>D90/D$65</f>
        <v>3.1039379964487065E-2</v>
      </c>
      <c r="E93" s="76">
        <f>E90/E$65</f>
        <v>6.325545811822425E-2</v>
      </c>
      <c r="F93" s="76">
        <f>F90/F$65</f>
        <v>8.7977145148289401E-2</v>
      </c>
    </row>
    <row r="94" spans="2:6" x14ac:dyDescent="0.25">
      <c r="B94" s="3" t="s">
        <v>56</v>
      </c>
      <c r="C94" s="76">
        <f>C91/C$65</f>
        <v>-1.3107429472333957E-2</v>
      </c>
      <c r="D94" s="76">
        <f>D91/D$65</f>
        <v>3.4167332642935596E-3</v>
      </c>
      <c r="E94" s="76">
        <f>E91/E$65</f>
        <v>1.2155650350572166E-2</v>
      </c>
      <c r="F94" s="76">
        <f>F91/F$65</f>
        <v>1.4923470994706057E-4</v>
      </c>
    </row>
    <row r="95" spans="2:6" x14ac:dyDescent="0.25">
      <c r="B95" s="3" t="s">
        <v>71</v>
      </c>
      <c r="C95" s="76">
        <f>(C89+C90)/(2*C$65)</f>
        <v>4.0982377949980407E-2</v>
      </c>
      <c r="D95" s="76">
        <f>(D89+D90)/(2*D$65)</f>
        <v>3.2747746596633848E-2</v>
      </c>
      <c r="E95" s="76">
        <f>(E89+E90)/(2*E$65)</f>
        <v>6.9333283293510337E-2</v>
      </c>
      <c r="F95" s="76">
        <f>(F89+F90)/(2*F$65)</f>
        <v>8.8051762503262937E-2</v>
      </c>
    </row>
    <row r="96" spans="2:6" x14ac:dyDescent="0.25">
      <c r="B96" s="3" t="s">
        <v>99</v>
      </c>
      <c r="C96" s="76">
        <f>C90/(G59+K59)</f>
        <v>4.7536092686115236E-2</v>
      </c>
      <c r="D96" s="76">
        <f>D90/(H59+L59)</f>
        <v>3.1039379964496343E-2</v>
      </c>
      <c r="E96" s="76">
        <f>E90/(I59+M59)</f>
        <v>6.325545811822933E-2</v>
      </c>
      <c r="F96" s="76">
        <f>F90/(J59+N59)</f>
        <v>8.7977145148292107E-2</v>
      </c>
    </row>
    <row r="97" spans="2:6" x14ac:dyDescent="0.25">
      <c r="C97" s="76"/>
      <c r="D97" s="76"/>
      <c r="E97" s="76"/>
      <c r="F97" s="76"/>
    </row>
    <row r="98" spans="2:6" x14ac:dyDescent="0.25">
      <c r="B98" s="42" t="s">
        <v>57</v>
      </c>
      <c r="C98" s="76"/>
      <c r="D98" s="76"/>
      <c r="E98" s="76"/>
      <c r="F98" s="76"/>
    </row>
    <row r="99" spans="2:6" x14ac:dyDescent="0.25">
      <c r="B99" s="3" t="s">
        <v>58</v>
      </c>
      <c r="C99" s="76">
        <f>SUM(H53:J53)</f>
        <v>150121.72449033076</v>
      </c>
      <c r="D99" s="76">
        <f>SUM(G54,I54:J54)</f>
        <v>230475.26556953287</v>
      </c>
      <c r="E99" s="76">
        <f>SUM(G55:H55,J55)</f>
        <v>210176.80274641546</v>
      </c>
      <c r="F99" s="76">
        <f>SUM(G56:I56)</f>
        <v>204343.61340141023</v>
      </c>
    </row>
    <row r="100" spans="2:6" x14ac:dyDescent="0.25">
      <c r="B100" s="3" t="s">
        <v>59</v>
      </c>
      <c r="C100" s="76">
        <f>SUM(G54:G56)</f>
        <v>202013.96304154125</v>
      </c>
      <c r="D100" s="76">
        <f>SUM(H53,H55:H56)</f>
        <v>338202.77255415131</v>
      </c>
      <c r="E100" s="76">
        <f>SUM(I53:I54,I56)</f>
        <v>129926.50233979909</v>
      </c>
      <c r="F100" s="76">
        <f>SUM(J53:J55)</f>
        <v>124974.16827219768</v>
      </c>
    </row>
    <row r="101" spans="2:6" x14ac:dyDescent="0.25">
      <c r="B101" s="3" t="s">
        <v>60</v>
      </c>
      <c r="C101" s="76">
        <f>C99-C100</f>
        <v>-51892.238551210496</v>
      </c>
      <c r="D101" s="76">
        <f t="shared" ref="D101:F101" si="23">D99-D100</f>
        <v>-107727.50698461843</v>
      </c>
      <c r="E101" s="76">
        <f t="shared" si="23"/>
        <v>80250.30040661637</v>
      </c>
      <c r="F101" s="76">
        <f t="shared" si="23"/>
        <v>79369.445129212545</v>
      </c>
    </row>
    <row r="102" spans="2:6" x14ac:dyDescent="0.25">
      <c r="B102" s="3" t="s">
        <v>61</v>
      </c>
      <c r="C102" s="76">
        <f>C99/C$65</f>
        <v>2.0151030683887263E-2</v>
      </c>
      <c r="D102" s="76">
        <f>D99/D$65</f>
        <v>1.5611395808759186E-2</v>
      </c>
      <c r="E102" s="76">
        <f>E99/E$65</f>
        <v>5.4656717302302406E-2</v>
      </c>
      <c r="F102" s="76">
        <f>F99/F$65</f>
        <v>6.5915978221899055E-2</v>
      </c>
    </row>
    <row r="103" spans="2:6" x14ac:dyDescent="0.25">
      <c r="B103" s="3" t="s">
        <v>62</v>
      </c>
      <c r="C103" s="76">
        <f>C100/C$65</f>
        <v>2.7116592096475434E-2</v>
      </c>
      <c r="D103" s="76">
        <f>D100/D$65</f>
        <v>2.2908390333841389E-2</v>
      </c>
      <c r="E103" s="76">
        <f>E100/E$65</f>
        <v>3.3787535140266299E-2</v>
      </c>
      <c r="F103" s="76">
        <f>F100/F$65</f>
        <v>4.0313442720364849E-2</v>
      </c>
    </row>
    <row r="104" spans="2:6" x14ac:dyDescent="0.25">
      <c r="B104" s="3" t="s">
        <v>63</v>
      </c>
      <c r="C104" s="76">
        <f>C101/C$65</f>
        <v>-6.9655614125881688E-3</v>
      </c>
      <c r="D104" s="76">
        <f>D101/D$65</f>
        <v>-7.2969945250822028E-3</v>
      </c>
      <c r="E104" s="76">
        <f>E101/E$65</f>
        <v>2.0869182162036107E-2</v>
      </c>
      <c r="F104" s="76">
        <f>F101/F$65</f>
        <v>2.5602535501534206E-2</v>
      </c>
    </row>
    <row r="105" spans="2:6" x14ac:dyDescent="0.25">
      <c r="B105" s="3" t="s">
        <v>71</v>
      </c>
      <c r="C105" s="76">
        <f>(C99+C100)/(2*C$65)</f>
        <v>2.3633811390181347E-2</v>
      </c>
      <c r="D105" s="76">
        <f>(D99+D100)/(2*D$65)</f>
        <v>1.9259893071300289E-2</v>
      </c>
      <c r="E105" s="76">
        <f>(E99+E100)/(2*E$65)</f>
        <v>4.4222126221284352E-2</v>
      </c>
      <c r="F105" s="76">
        <f>(F99+F100)/(2*F$65)</f>
        <v>5.3114710471131948E-2</v>
      </c>
    </row>
    <row r="106" spans="2:6" x14ac:dyDescent="0.25">
      <c r="C106" s="76"/>
      <c r="D106" s="76"/>
      <c r="E106" s="76"/>
      <c r="F106" s="76"/>
    </row>
    <row r="107" spans="2:6" x14ac:dyDescent="0.25">
      <c r="B107" s="42" t="s">
        <v>64</v>
      </c>
      <c r="C107" s="76"/>
      <c r="D107" s="76"/>
      <c r="E107" s="76"/>
      <c r="F107" s="76"/>
    </row>
    <row r="108" spans="2:6" x14ac:dyDescent="0.25">
      <c r="B108" s="3" t="s">
        <v>65</v>
      </c>
      <c r="C108" s="76">
        <f>C89-C99</f>
        <v>106365.9150072957</v>
      </c>
      <c r="D108" s="76">
        <f>D89-D99</f>
        <v>278209.66844779847</v>
      </c>
      <c r="E108" s="76">
        <f>E89-E99</f>
        <v>79808.883402121341</v>
      </c>
      <c r="F108" s="76">
        <f>F89-F99</f>
        <v>68853.620137248479</v>
      </c>
    </row>
    <row r="109" spans="2:6" x14ac:dyDescent="0.25">
      <c r="B109" s="3" t="s">
        <v>66</v>
      </c>
      <c r="C109" s="76">
        <f>C90-C100</f>
        <v>152121.77926978088</v>
      </c>
      <c r="D109" s="76">
        <f>D90-D100</f>
        <v>120040.0026636137</v>
      </c>
      <c r="E109" s="76">
        <f t="shared" ref="E109:F109" si="24">E90-E100</f>
        <v>113315.87663469014</v>
      </c>
      <c r="F109" s="76">
        <f t="shared" si="24"/>
        <v>147760.42842637902</v>
      </c>
    </row>
    <row r="110" spans="2:6" x14ac:dyDescent="0.25">
      <c r="B110" s="3" t="s">
        <v>67</v>
      </c>
      <c r="C110" s="76">
        <f>C108-C109</f>
        <v>-45755.864262485178</v>
      </c>
      <c r="D110" s="76">
        <f t="shared" ref="D110:F110" si="25">D108-D109</f>
        <v>158169.66578418476</v>
      </c>
      <c r="E110" s="76">
        <f t="shared" si="25"/>
        <v>-33506.993232568799</v>
      </c>
      <c r="F110" s="76">
        <f t="shared" si="25"/>
        <v>-78906.808289130538</v>
      </c>
    </row>
    <row r="111" spans="2:6" x14ac:dyDescent="0.25">
      <c r="B111" s="3" t="s">
        <v>68</v>
      </c>
      <c r="C111" s="76">
        <f>C108/C$65</f>
        <v>1.4277632529926169E-2</v>
      </c>
      <c r="D111" s="76">
        <f>D108/D$65</f>
        <v>1.8844717420021442E-2</v>
      </c>
      <c r="E111" s="76">
        <f>E108/E$65</f>
        <v>2.0754391166494017E-2</v>
      </c>
      <c r="F111" s="76">
        <f>F108/F$65</f>
        <v>2.2210401636337411E-2</v>
      </c>
    </row>
    <row r="112" spans="2:6" x14ac:dyDescent="0.25">
      <c r="B112" s="3" t="s">
        <v>69</v>
      </c>
      <c r="C112" s="76">
        <f>C109/C$65</f>
        <v>2.0419500589671957E-2</v>
      </c>
      <c r="D112" s="76">
        <f>D109/D$65</f>
        <v>8.130989630645678E-3</v>
      </c>
      <c r="E112" s="76">
        <f>E109/E$65</f>
        <v>2.9467922977957958E-2</v>
      </c>
      <c r="F112" s="76">
        <f>F109/F$65</f>
        <v>4.7663702427924552E-2</v>
      </c>
    </row>
    <row r="113" spans="2:6" x14ac:dyDescent="0.25">
      <c r="B113" s="3" t="s">
        <v>70</v>
      </c>
      <c r="C113" s="76">
        <f>C110/C$65</f>
        <v>-6.1418680597457882E-3</v>
      </c>
      <c r="D113" s="76">
        <f>D110/D$65</f>
        <v>1.0713727789375762E-2</v>
      </c>
      <c r="E113" s="76">
        <f>E110/E$65</f>
        <v>-8.7135318114639395E-3</v>
      </c>
      <c r="F113" s="76">
        <f>F110/F$65</f>
        <v>-2.5453300791587145E-2</v>
      </c>
    </row>
    <row r="114" spans="2:6" x14ac:dyDescent="0.25">
      <c r="B114" s="3" t="s">
        <v>71</v>
      </c>
      <c r="C114" s="76">
        <f>(C108+C109)/(2*C$65)</f>
        <v>1.7348566559799061E-2</v>
      </c>
      <c r="D114" s="76">
        <f>(D108+D109)/(2*D$65)</f>
        <v>1.3487853525333559E-2</v>
      </c>
      <c r="E114" s="76">
        <f>(E108+E109)/(2*E$65)</f>
        <v>2.5111157072225988E-2</v>
      </c>
      <c r="F114" s="76">
        <f>(F108+F109)/(2*F$65)</f>
        <v>3.4937052032130982E-2</v>
      </c>
    </row>
  </sheetData>
  <mergeCells count="15">
    <mergeCell ref="A53:A56"/>
    <mergeCell ref="C33:F33"/>
    <mergeCell ref="G33:J33"/>
    <mergeCell ref="K33:N33"/>
    <mergeCell ref="A35:A38"/>
    <mergeCell ref="C50:N50"/>
    <mergeCell ref="C51:F51"/>
    <mergeCell ref="G51:J51"/>
    <mergeCell ref="K51:N51"/>
    <mergeCell ref="C4:N4"/>
    <mergeCell ref="C5:F5"/>
    <mergeCell ref="G5:J5"/>
    <mergeCell ref="K5:N5"/>
    <mergeCell ref="A7:A10"/>
    <mergeCell ref="C32:N3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114"/>
  <sheetViews>
    <sheetView topLeftCell="A70" zoomScaleNormal="100" workbookViewId="0">
      <pane xSplit="2" topLeftCell="C1" activePane="topRight" state="frozen"/>
      <selection pane="topRight" activeCell="D97" sqref="D97"/>
    </sheetView>
  </sheetViews>
  <sheetFormatPr defaultRowHeight="15" x14ac:dyDescent="0.25"/>
  <cols>
    <col min="1" max="1" width="19" bestFit="1" customWidth="1"/>
    <col min="2" max="2" width="70.28515625" bestFit="1" customWidth="1"/>
    <col min="3" max="14" width="18.85546875" customWidth="1"/>
    <col min="15" max="15" width="15.28515625" bestFit="1" customWidth="1"/>
    <col min="16" max="16" width="15.7109375" bestFit="1" customWidth="1"/>
    <col min="17" max="17" width="15.28515625" bestFit="1" customWidth="1"/>
    <col min="18" max="26" width="13.85546875" customWidth="1"/>
    <col min="27" max="29" width="15.28515625" bestFit="1" customWidth="1"/>
    <col min="30" max="30" width="11.5703125" bestFit="1" customWidth="1"/>
    <col min="31" max="31" width="12.7109375" bestFit="1" customWidth="1"/>
    <col min="32" max="32" width="12" bestFit="1" customWidth="1"/>
  </cols>
  <sheetData>
    <row r="1" spans="1:18" ht="18.75" x14ac:dyDescent="0.3">
      <c r="A1" s="6" t="s">
        <v>180</v>
      </c>
    </row>
    <row r="3" spans="1:18" x14ac:dyDescent="0.25">
      <c r="A3" s="59" t="s">
        <v>112</v>
      </c>
      <c r="B3" s="54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54"/>
      <c r="R3" s="55"/>
    </row>
    <row r="4" spans="1:18" x14ac:dyDescent="0.25">
      <c r="A4" s="14"/>
      <c r="B4" s="2"/>
      <c r="C4" s="145" t="s">
        <v>11</v>
      </c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62"/>
      <c r="P4" s="71" t="s">
        <v>29</v>
      </c>
      <c r="Q4" s="7" t="s">
        <v>39</v>
      </c>
      <c r="R4" s="13"/>
    </row>
    <row r="5" spans="1:18" x14ac:dyDescent="0.25">
      <c r="A5" s="14"/>
      <c r="B5" s="2"/>
      <c r="C5" s="146" t="s">
        <v>1</v>
      </c>
      <c r="D5" s="145"/>
      <c r="E5" s="145"/>
      <c r="F5" s="147"/>
      <c r="G5" s="145" t="s">
        <v>5</v>
      </c>
      <c r="H5" s="145"/>
      <c r="I5" s="145"/>
      <c r="J5" s="147"/>
      <c r="K5" s="148" t="s">
        <v>3</v>
      </c>
      <c r="L5" s="145"/>
      <c r="M5" s="145"/>
      <c r="N5" s="149"/>
      <c r="O5" s="62"/>
      <c r="P5" s="62"/>
      <c r="Q5" s="2"/>
      <c r="R5" s="13"/>
    </row>
    <row r="6" spans="1:18" x14ac:dyDescent="0.25">
      <c r="A6" s="14"/>
      <c r="B6" s="2"/>
      <c r="C6" s="128" t="s">
        <v>7</v>
      </c>
      <c r="D6" s="71" t="s">
        <v>8</v>
      </c>
      <c r="E6" s="71" t="s">
        <v>9</v>
      </c>
      <c r="F6" s="129" t="s">
        <v>0</v>
      </c>
      <c r="G6" s="71" t="s">
        <v>7</v>
      </c>
      <c r="H6" s="71" t="s">
        <v>8</v>
      </c>
      <c r="I6" s="71" t="s">
        <v>9</v>
      </c>
      <c r="J6" s="129" t="s">
        <v>0</v>
      </c>
      <c r="K6" s="71" t="s">
        <v>7</v>
      </c>
      <c r="L6" s="71" t="s">
        <v>8</v>
      </c>
      <c r="M6" s="71" t="s">
        <v>9</v>
      </c>
      <c r="N6" s="130" t="s">
        <v>0</v>
      </c>
      <c r="O6" s="62"/>
      <c r="P6" s="62"/>
      <c r="Q6" s="2"/>
      <c r="R6" s="13"/>
    </row>
    <row r="7" spans="1:18" x14ac:dyDescent="0.25">
      <c r="A7" s="150" t="s">
        <v>10</v>
      </c>
      <c r="B7" s="7" t="s">
        <v>7</v>
      </c>
      <c r="C7" s="131">
        <f>'BenchmarkIOMatrix-2011'!C22</f>
        <v>10306379.447125269</v>
      </c>
      <c r="D7" s="70">
        <f>'BenchmarkIOMatrix-2011'!D22</f>
        <v>549324.81794091722</v>
      </c>
      <c r="E7" s="70">
        <f>'BenchmarkIOMatrix-2011'!E22</f>
        <v>391697.61347325478</v>
      </c>
      <c r="F7" s="133">
        <f>'BenchmarkIOMatrix-2011'!F22</f>
        <v>336565.88583077438</v>
      </c>
      <c r="G7" s="70">
        <f>'BenchmarkIOMatrix-2011'!G22</f>
        <v>12550153.846645599</v>
      </c>
      <c r="H7" s="70">
        <f>'BenchmarkIOMatrix-2011'!H22</f>
        <v>171732.13184028852</v>
      </c>
      <c r="I7" s="70">
        <f>'BenchmarkIOMatrix-2011'!I22</f>
        <v>85295.510448614252</v>
      </c>
      <c r="J7" s="133">
        <f>'BenchmarkIOMatrix-2011'!J22</f>
        <v>80719.625998742253</v>
      </c>
      <c r="K7" s="70">
        <f>'BenchmarkIOMatrix-2011'!K22</f>
        <v>2220513.0274413335</v>
      </c>
      <c r="L7" s="70">
        <f>'BenchmarkIOMatrix-2011'!L22</f>
        <v>98789.902683885448</v>
      </c>
      <c r="M7" s="70">
        <f>'BenchmarkIOMatrix-2011'!M22</f>
        <v>73958.748400755969</v>
      </c>
      <c r="N7" s="132">
        <f>'BenchmarkIOMatrix-2011'!N22</f>
        <v>52989.899935671303</v>
      </c>
      <c r="O7" s="62"/>
      <c r="P7" s="62">
        <f>SUM(C7:N7)</f>
        <v>26918120.457765106</v>
      </c>
      <c r="Q7" s="56">
        <f>C17</f>
        <v>26918120.457770899</v>
      </c>
      <c r="R7" s="115">
        <f>Q7-P7</f>
        <v>5.7928264141082764E-6</v>
      </c>
    </row>
    <row r="8" spans="1:18" x14ac:dyDescent="0.25">
      <c r="A8" s="150"/>
      <c r="B8" s="7" t="s">
        <v>8</v>
      </c>
      <c r="C8" s="61">
        <f>'BenchmarkIOMatrix-2011'!C23</f>
        <v>570575.34752267471</v>
      </c>
      <c r="D8" s="62">
        <f>'BenchmarkIOMatrix-2011'!D23</f>
        <v>21462237.503009155</v>
      </c>
      <c r="E8" s="62">
        <f>'BenchmarkIOMatrix-2011'!E23</f>
        <v>1137640.990622676</v>
      </c>
      <c r="F8" s="63">
        <f>'BenchmarkIOMatrix-2011'!F23</f>
        <v>1259937.7767320678</v>
      </c>
      <c r="G8" s="62">
        <f>'BenchmarkIOMatrix-2011'!G23</f>
        <v>213327.07103005986</v>
      </c>
      <c r="H8" s="62">
        <f>'BenchmarkIOMatrix-2011'!H23</f>
        <v>19013617.186103728</v>
      </c>
      <c r="I8" s="62">
        <f>'BenchmarkIOMatrix-2011'!I23</f>
        <v>276272.92309509229</v>
      </c>
      <c r="J8" s="63">
        <f>'BenchmarkIOMatrix-2011'!J23</f>
        <v>392143.0066879412</v>
      </c>
      <c r="K8" s="62">
        <f>'BenchmarkIOMatrix-2011'!K23</f>
        <v>147379.58877491162</v>
      </c>
      <c r="L8" s="62">
        <f>'BenchmarkIOMatrix-2011'!L23</f>
        <v>4601199.1525577335</v>
      </c>
      <c r="M8" s="62">
        <f>'BenchmarkIOMatrix-2011'!M23</f>
        <v>241180.21379281138</v>
      </c>
      <c r="N8" s="64">
        <f>'BenchmarkIOMatrix-2011'!N23</f>
        <v>193140.60273949904</v>
      </c>
      <c r="O8" s="62"/>
      <c r="P8" s="62">
        <f t="shared" ref="P8:P11" si="0">SUM(C8:N8)</f>
        <v>49508651.36266835</v>
      </c>
      <c r="Q8" s="56">
        <f>D17</f>
        <v>49508651.362665869</v>
      </c>
      <c r="R8" s="115">
        <f t="shared" ref="R8:R14" si="1">Q8-P8</f>
        <v>-2.4810433387756348E-6</v>
      </c>
    </row>
    <row r="9" spans="1:18" x14ac:dyDescent="0.25">
      <c r="A9" s="150"/>
      <c r="B9" s="7" t="s">
        <v>9</v>
      </c>
      <c r="C9" s="61">
        <f>'BenchmarkIOMatrix-2011'!C24</f>
        <v>503038.53525201185</v>
      </c>
      <c r="D9" s="62">
        <f>'BenchmarkIOMatrix-2011'!D24</f>
        <v>1200926.5233248663</v>
      </c>
      <c r="E9" s="62">
        <f>'BenchmarkIOMatrix-2011'!E24</f>
        <v>22731672.083738822</v>
      </c>
      <c r="F9" s="63">
        <f>'BenchmarkIOMatrix-2011'!F24</f>
        <v>785916.22589041572</v>
      </c>
      <c r="G9" s="62">
        <f>'BenchmarkIOMatrix-2011'!G24</f>
        <v>243474.3144166189</v>
      </c>
      <c r="H9" s="62">
        <f>'BenchmarkIOMatrix-2011'!H24</f>
        <v>490034.86511489033</v>
      </c>
      <c r="I9" s="62">
        <f>'BenchmarkIOMatrix-2011'!I24</f>
        <v>10663687.467151223</v>
      </c>
      <c r="J9" s="63">
        <f>'BenchmarkIOMatrix-2011'!J24</f>
        <v>223563.40036704767</v>
      </c>
      <c r="K9" s="62">
        <f>'BenchmarkIOMatrix-2011'!K24</f>
        <v>181489.85023259622</v>
      </c>
      <c r="L9" s="62">
        <f>'BenchmarkIOMatrix-2011'!L24</f>
        <v>228543.23840315937</v>
      </c>
      <c r="M9" s="62">
        <f>'BenchmarkIOMatrix-2011'!M24</f>
        <v>5782164.3025137261</v>
      </c>
      <c r="N9" s="64">
        <f>'BenchmarkIOMatrix-2011'!N24</f>
        <v>202678.01412671167</v>
      </c>
      <c r="O9" s="62"/>
      <c r="P9" s="62">
        <f t="shared" si="0"/>
        <v>43237188.820532084</v>
      </c>
      <c r="Q9" s="56">
        <f>E17</f>
        <v>43237188.820529789</v>
      </c>
      <c r="R9" s="115">
        <f t="shared" si="1"/>
        <v>-2.2947788238525391E-6</v>
      </c>
    </row>
    <row r="10" spans="1:18" x14ac:dyDescent="0.25">
      <c r="A10" s="150"/>
      <c r="B10" s="7" t="s">
        <v>0</v>
      </c>
      <c r="C10" s="61">
        <f>'BenchmarkIOMatrix-2011'!C25</f>
        <v>376945.35286952276</v>
      </c>
      <c r="D10" s="62">
        <f>'BenchmarkIOMatrix-2011'!D25</f>
        <v>962479.77067329502</v>
      </c>
      <c r="E10" s="62">
        <f>'BenchmarkIOMatrix-2011'!E25</f>
        <v>1072041.4915585967</v>
      </c>
      <c r="F10" s="63">
        <f>'BenchmarkIOMatrix-2011'!F25</f>
        <v>8847927.661641378</v>
      </c>
      <c r="G10" s="62">
        <f>'BenchmarkIOMatrix-2011'!G25</f>
        <v>137323.85814262272</v>
      </c>
      <c r="H10" s="62">
        <f>'BenchmarkIOMatrix-2011'!H25</f>
        <v>347433.77035989577</v>
      </c>
      <c r="I10" s="62">
        <f>'BenchmarkIOMatrix-2011'!I25</f>
        <v>171793.45866906634</v>
      </c>
      <c r="J10" s="63">
        <f>'BenchmarkIOMatrix-2011'!J25</f>
        <v>7526875.9501492688</v>
      </c>
      <c r="K10" s="62">
        <f>'BenchmarkIOMatrix-2011'!K25</f>
        <v>25431.467481156804</v>
      </c>
      <c r="L10" s="62">
        <f>'BenchmarkIOMatrix-2011'!L25</f>
        <v>48846.02627622032</v>
      </c>
      <c r="M10" s="62">
        <f>'BenchmarkIOMatrix-2011'!M25</f>
        <v>86951.686356645325</v>
      </c>
      <c r="N10" s="64">
        <f>'BenchmarkIOMatrix-2011'!N25</f>
        <v>2499873.0673511075</v>
      </c>
      <c r="O10" s="62"/>
      <c r="P10" s="62">
        <f t="shared" si="0"/>
        <v>22103923.561528772</v>
      </c>
      <c r="Q10" s="56">
        <f>F17</f>
        <v>22103923.561527923</v>
      </c>
      <c r="R10" s="115">
        <f t="shared" si="1"/>
        <v>-8.4936618804931641E-7</v>
      </c>
    </row>
    <row r="11" spans="1:18" s="3" customFormat="1" x14ac:dyDescent="0.25">
      <c r="A11" s="57"/>
      <c r="B11" s="7" t="s">
        <v>90</v>
      </c>
      <c r="C11" s="61">
        <f>'BenchmarkIOMatrix-2011'!C26</f>
        <v>15161181.775001423</v>
      </c>
      <c r="D11" s="62">
        <v>0</v>
      </c>
      <c r="E11" s="62">
        <v>0</v>
      </c>
      <c r="F11" s="63">
        <v>0</v>
      </c>
      <c r="G11" s="62">
        <v>0</v>
      </c>
      <c r="H11" s="62">
        <v>0</v>
      </c>
      <c r="I11" s="62">
        <v>0</v>
      </c>
      <c r="J11" s="63">
        <v>0</v>
      </c>
      <c r="K11" s="62">
        <v>0</v>
      </c>
      <c r="L11" s="62">
        <v>0</v>
      </c>
      <c r="M11" s="62">
        <v>0</v>
      </c>
      <c r="N11" s="64">
        <v>0</v>
      </c>
      <c r="O11" s="62"/>
      <c r="P11" s="62">
        <f t="shared" si="0"/>
        <v>15161181.775001423</v>
      </c>
      <c r="Q11" s="56">
        <f>C11</f>
        <v>15161181.775001423</v>
      </c>
      <c r="R11" s="115">
        <f t="shared" si="1"/>
        <v>0</v>
      </c>
    </row>
    <row r="12" spans="1:18" s="3" customFormat="1" x14ac:dyDescent="0.25">
      <c r="A12" s="57"/>
      <c r="B12" s="7" t="s">
        <v>91</v>
      </c>
      <c r="C12" s="61">
        <v>0</v>
      </c>
      <c r="D12" s="62">
        <f>'BenchmarkIOMatrix-2011'!D26</f>
        <v>25333682.747717638</v>
      </c>
      <c r="E12" s="62">
        <v>0</v>
      </c>
      <c r="F12" s="63">
        <v>0</v>
      </c>
      <c r="G12" s="62">
        <v>0</v>
      </c>
      <c r="H12" s="62">
        <v>0</v>
      </c>
      <c r="I12" s="62">
        <v>0</v>
      </c>
      <c r="J12" s="63">
        <v>0</v>
      </c>
      <c r="K12" s="62">
        <v>0</v>
      </c>
      <c r="L12" s="62">
        <v>0</v>
      </c>
      <c r="M12" s="62">
        <v>0</v>
      </c>
      <c r="N12" s="64">
        <v>0</v>
      </c>
      <c r="O12" s="62"/>
      <c r="P12" s="62">
        <f>SUM(C12:O12)</f>
        <v>25333682.747717638</v>
      </c>
      <c r="Q12" s="56">
        <f>D12</f>
        <v>25333682.747717638</v>
      </c>
      <c r="R12" s="115">
        <f t="shared" si="1"/>
        <v>0</v>
      </c>
    </row>
    <row r="13" spans="1:18" s="3" customFormat="1" x14ac:dyDescent="0.25">
      <c r="A13" s="57"/>
      <c r="B13" s="7" t="s">
        <v>92</v>
      </c>
      <c r="C13" s="61">
        <v>0</v>
      </c>
      <c r="D13" s="62">
        <v>0</v>
      </c>
      <c r="E13" s="62">
        <f>'BenchmarkIOMatrix-2011'!E26</f>
        <v>17904136.641136434</v>
      </c>
      <c r="F13" s="63">
        <v>0</v>
      </c>
      <c r="G13" s="62">
        <v>0</v>
      </c>
      <c r="H13" s="62">
        <v>0</v>
      </c>
      <c r="I13" s="62">
        <v>0</v>
      </c>
      <c r="J13" s="63">
        <v>0</v>
      </c>
      <c r="K13" s="62">
        <v>0</v>
      </c>
      <c r="L13" s="62">
        <v>0</v>
      </c>
      <c r="M13" s="62">
        <v>0</v>
      </c>
      <c r="N13" s="64">
        <v>0</v>
      </c>
      <c r="O13" s="62"/>
      <c r="P13" s="62">
        <f t="shared" ref="P13:P14" si="2">SUM(C13:O13)</f>
        <v>17904136.641136434</v>
      </c>
      <c r="Q13" s="56">
        <f>E13</f>
        <v>17904136.641136434</v>
      </c>
      <c r="R13" s="115">
        <f t="shared" si="1"/>
        <v>0</v>
      </c>
    </row>
    <row r="14" spans="1:18" s="3" customFormat="1" x14ac:dyDescent="0.25">
      <c r="A14" s="57"/>
      <c r="B14" s="7" t="s">
        <v>93</v>
      </c>
      <c r="C14" s="65">
        <v>0</v>
      </c>
      <c r="D14" s="66">
        <v>0</v>
      </c>
      <c r="E14" s="66"/>
      <c r="F14" s="67">
        <f>'BenchmarkIOMatrix-2011'!F26</f>
        <v>10873576.011433288</v>
      </c>
      <c r="G14" s="66">
        <v>0</v>
      </c>
      <c r="H14" s="66">
        <v>0</v>
      </c>
      <c r="I14" s="66">
        <v>0</v>
      </c>
      <c r="J14" s="67">
        <v>0</v>
      </c>
      <c r="K14" s="66">
        <v>0</v>
      </c>
      <c r="L14" s="66">
        <v>0</v>
      </c>
      <c r="M14" s="66">
        <v>0</v>
      </c>
      <c r="N14" s="68">
        <v>0</v>
      </c>
      <c r="O14" s="62"/>
      <c r="P14" s="62">
        <f t="shared" si="2"/>
        <v>10873576.011433288</v>
      </c>
      <c r="Q14" s="56">
        <f>F14</f>
        <v>10873576.011433288</v>
      </c>
      <c r="R14" s="115">
        <f t="shared" si="1"/>
        <v>0</v>
      </c>
    </row>
    <row r="15" spans="1:18" s="3" customFormat="1" x14ac:dyDescent="0.25">
      <c r="A15" s="14"/>
      <c r="B15" s="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71">
        <f>SUM(P7:P14)</f>
        <v>211040461.37778312</v>
      </c>
      <c r="Q15" s="71">
        <f>SUM(Q7:Q14)</f>
        <v>211040461.3777833</v>
      </c>
      <c r="R15" s="13"/>
    </row>
    <row r="16" spans="1:18" s="3" customFormat="1" x14ac:dyDescent="0.25">
      <c r="A16" s="14"/>
      <c r="B16" s="9" t="s">
        <v>77</v>
      </c>
      <c r="C16" s="62">
        <f>SUM(C7:C14)</f>
        <v>26918120.457770899</v>
      </c>
      <c r="D16" s="62">
        <f>SUM(D7:D14)</f>
        <v>49508651.362665869</v>
      </c>
      <c r="E16" s="62">
        <f>SUM(E7:E13)</f>
        <v>43237188.820529789</v>
      </c>
      <c r="F16" s="62">
        <f>SUM(F7:F14)</f>
        <v>22103923.561527923</v>
      </c>
      <c r="G16" s="62">
        <f>SUM(G7:G14)</f>
        <v>13144279.0902349</v>
      </c>
      <c r="H16" s="62">
        <f t="shared" ref="H16:N16" si="3">SUM(H7:H12)</f>
        <v>20022817.953418802</v>
      </c>
      <c r="I16" s="62">
        <f t="shared" si="3"/>
        <v>11197049.359363995</v>
      </c>
      <c r="J16" s="62">
        <f t="shared" si="3"/>
        <v>8223301.9832029995</v>
      </c>
      <c r="K16" s="62">
        <f t="shared" si="3"/>
        <v>2574813.933929998</v>
      </c>
      <c r="L16" s="62">
        <f t="shared" si="3"/>
        <v>4977378.319920999</v>
      </c>
      <c r="M16" s="62">
        <f t="shared" si="3"/>
        <v>6184254.9510639384</v>
      </c>
      <c r="N16" s="62">
        <f t="shared" si="3"/>
        <v>2948681.5841529896</v>
      </c>
      <c r="O16" s="71">
        <f>SUM(C16:N16)</f>
        <v>211040461.37778312</v>
      </c>
      <c r="P16" s="62">
        <f>P15-O16</f>
        <v>0</v>
      </c>
      <c r="Q16" s="2"/>
      <c r="R16" s="13"/>
    </row>
    <row r="17" spans="1:26" s="3" customFormat="1" x14ac:dyDescent="0.25">
      <c r="A17" s="14"/>
      <c r="B17" s="7" t="s">
        <v>78</v>
      </c>
      <c r="C17" s="116">
        <f>C16</f>
        <v>26918120.457770899</v>
      </c>
      <c r="D17" s="116">
        <f>D16</f>
        <v>49508651.362665869</v>
      </c>
      <c r="E17" s="116">
        <f>E16</f>
        <v>43237188.820529789</v>
      </c>
      <c r="F17" s="116">
        <f>F16</f>
        <v>22103923.561527923</v>
      </c>
      <c r="G17" s="116">
        <f>C26</f>
        <v>12586367.841071425</v>
      </c>
      <c r="H17" s="116">
        <f t="shared" ref="H17:J17" si="4">D26</f>
        <v>20356304.42779664</v>
      </c>
      <c r="I17" s="116">
        <f t="shared" si="4"/>
        <v>11719881.690072494</v>
      </c>
      <c r="J17" s="116">
        <f t="shared" si="4"/>
        <v>7924894.4272802994</v>
      </c>
      <c r="K17" s="116">
        <f>C27</f>
        <v>2574813.933929998</v>
      </c>
      <c r="L17" s="116">
        <f t="shared" ref="L17:N17" si="5">D27</f>
        <v>4977378.319920999</v>
      </c>
      <c r="M17" s="116">
        <f t="shared" si="5"/>
        <v>6184254.9510639384</v>
      </c>
      <c r="N17" s="116">
        <f t="shared" si="5"/>
        <v>2948681.5841529896</v>
      </c>
      <c r="O17" s="71">
        <f>SUM(C17:N17)</f>
        <v>211040461.3777833</v>
      </c>
      <c r="P17" s="2"/>
      <c r="Q17" s="120"/>
      <c r="R17" s="13"/>
    </row>
    <row r="18" spans="1:26" x14ac:dyDescent="0.25">
      <c r="A18" s="19"/>
      <c r="B18" s="20"/>
      <c r="C18" s="119">
        <f>C17-C16</f>
        <v>0</v>
      </c>
      <c r="D18" s="119">
        <f t="shared" ref="D18:N18" si="6">D17-D16</f>
        <v>0</v>
      </c>
      <c r="E18" s="119">
        <f t="shared" si="6"/>
        <v>0</v>
      </c>
      <c r="F18" s="119">
        <f t="shared" si="6"/>
        <v>0</v>
      </c>
      <c r="G18" s="119">
        <f t="shared" si="6"/>
        <v>-557911.24916347489</v>
      </c>
      <c r="H18" s="119">
        <f t="shared" si="6"/>
        <v>333486.47437783703</v>
      </c>
      <c r="I18" s="119">
        <f t="shared" si="6"/>
        <v>522832.33070849814</v>
      </c>
      <c r="J18" s="119">
        <f t="shared" si="6"/>
        <v>-298407.55592270009</v>
      </c>
      <c r="K18" s="119">
        <f t="shared" si="6"/>
        <v>0</v>
      </c>
      <c r="L18" s="119">
        <f t="shared" si="6"/>
        <v>0</v>
      </c>
      <c r="M18" s="119">
        <f t="shared" si="6"/>
        <v>0</v>
      </c>
      <c r="N18" s="119">
        <f t="shared" si="6"/>
        <v>0</v>
      </c>
      <c r="O18" s="20"/>
      <c r="P18" s="20"/>
      <c r="Q18" s="20"/>
      <c r="R18" s="21"/>
    </row>
    <row r="19" spans="1:26" x14ac:dyDescent="0.25">
      <c r="A19" s="7"/>
      <c r="B19" s="5"/>
      <c r="C19" s="5"/>
      <c r="D19" s="5"/>
      <c r="E19" s="5"/>
      <c r="F19" s="5"/>
      <c r="H19" s="5"/>
      <c r="I19" s="5"/>
      <c r="J19" s="5"/>
      <c r="K19" s="5"/>
      <c r="L19" s="5"/>
      <c r="M19" s="5"/>
      <c r="N19" s="5"/>
      <c r="Q19" s="5"/>
      <c r="S19" s="5"/>
      <c r="T19" s="5"/>
      <c r="U19" s="5"/>
      <c r="V19" s="5"/>
      <c r="Y19" s="5"/>
    </row>
    <row r="20" spans="1:26" x14ac:dyDescent="0.25">
      <c r="A20" s="59" t="s">
        <v>83</v>
      </c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6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57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7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57"/>
      <c r="B22" s="79"/>
      <c r="C22" s="80" t="s">
        <v>7</v>
      </c>
      <c r="D22" s="80" t="s">
        <v>8</v>
      </c>
      <c r="E22" s="80" t="s">
        <v>9</v>
      </c>
      <c r="F22" s="80" t="s">
        <v>0</v>
      </c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57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57"/>
      <c r="B24" s="126" t="s">
        <v>179</v>
      </c>
      <c r="C24" s="114"/>
      <c r="D24" s="114"/>
      <c r="E24" s="114"/>
      <c r="F24" s="114"/>
      <c r="G24" s="2"/>
      <c r="H24" s="2"/>
      <c r="I24" s="2"/>
      <c r="J24" s="2"/>
      <c r="K24" s="2"/>
      <c r="L24" s="13"/>
    </row>
    <row r="25" spans="1:26" x14ac:dyDescent="0.25">
      <c r="A25" s="57"/>
      <c r="B25" s="7" t="s">
        <v>106</v>
      </c>
      <c r="C25" s="114">
        <f>'BenchmarkIOMatrix-2011'!K28/'BenchmarkIOMatrix-2011'!C26</f>
        <v>0.16982936898596457</v>
      </c>
      <c r="D25" s="114">
        <f>'BenchmarkIOMatrix-2011'!L28/'BenchmarkIOMatrix-2011'!D26</f>
        <v>0.19647275011247312</v>
      </c>
      <c r="E25" s="114">
        <f>'BenchmarkIOMatrix-2011'!M28/'BenchmarkIOMatrix-2011'!E26</f>
        <v>0.34540928026962398</v>
      </c>
      <c r="F25" s="114">
        <f>'BenchmarkIOMatrix-2011'!N28/'BenchmarkIOMatrix-2011'!F26</f>
        <v>0.27117864270710262</v>
      </c>
      <c r="G25" s="2"/>
      <c r="H25" s="2"/>
      <c r="I25" s="2"/>
      <c r="J25" s="2"/>
      <c r="K25" s="2"/>
      <c r="L25" s="13"/>
    </row>
    <row r="26" spans="1:26" x14ac:dyDescent="0.25">
      <c r="A26" s="57"/>
      <c r="B26" s="7" t="s">
        <v>109</v>
      </c>
      <c r="C26" s="114">
        <f>(1-C25)*C11</f>
        <v>12586367.841071425</v>
      </c>
      <c r="D26" s="114">
        <f>(1-D25)*D12</f>
        <v>20356304.42779664</v>
      </c>
      <c r="E26" s="114">
        <f>(1-E25)*E13</f>
        <v>11719881.690072494</v>
      </c>
      <c r="F26" s="114">
        <f>(1-F25)*F14</f>
        <v>7924894.4272802994</v>
      </c>
      <c r="G26" s="2"/>
      <c r="H26" s="2"/>
      <c r="I26" s="2"/>
      <c r="J26" s="2"/>
      <c r="K26" s="2"/>
      <c r="L26" s="13"/>
    </row>
    <row r="27" spans="1:26" x14ac:dyDescent="0.25">
      <c r="A27" s="57"/>
      <c r="B27" s="7" t="s">
        <v>110</v>
      </c>
      <c r="C27" s="114">
        <f>C25*C11</f>
        <v>2574813.933929998</v>
      </c>
      <c r="D27" s="114">
        <f>D25*D12</f>
        <v>4977378.319920999</v>
      </c>
      <c r="E27" s="114">
        <f>E25*E13</f>
        <v>6184254.9510639384</v>
      </c>
      <c r="F27" s="114">
        <f>F25*F14</f>
        <v>2948681.5841529896</v>
      </c>
      <c r="G27" s="2"/>
      <c r="H27" s="2"/>
      <c r="I27" s="2"/>
      <c r="J27" s="2"/>
      <c r="K27" s="2"/>
      <c r="L27" s="13"/>
    </row>
    <row r="28" spans="1:26" x14ac:dyDescent="0.25">
      <c r="A28" s="98"/>
      <c r="B28" s="79"/>
      <c r="C28" s="79"/>
      <c r="D28" s="79"/>
      <c r="E28" s="79"/>
      <c r="F28" s="79"/>
      <c r="G28" s="79"/>
      <c r="H28" s="79"/>
      <c r="I28" s="79"/>
      <c r="J28" s="79"/>
      <c r="K28" s="79"/>
      <c r="L28" s="77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x14ac:dyDescent="0.25">
      <c r="A29" s="108"/>
      <c r="B29" s="125"/>
      <c r="C29" s="110"/>
      <c r="D29" s="110"/>
      <c r="E29" s="110"/>
      <c r="F29" s="110"/>
      <c r="G29" s="110"/>
      <c r="H29" s="110"/>
      <c r="I29" s="110"/>
      <c r="J29" s="110"/>
      <c r="K29" s="110"/>
      <c r="L29" s="1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</row>
    <row r="30" spans="1:26" x14ac:dyDescent="0.25">
      <c r="A30" s="9"/>
      <c r="B30" s="126"/>
      <c r="C30" s="127"/>
      <c r="D30" s="127"/>
      <c r="E30" s="127"/>
      <c r="F30" s="127"/>
      <c r="G30" s="127"/>
      <c r="H30" s="127"/>
      <c r="I30" s="127"/>
      <c r="J30" s="127"/>
      <c r="K30" s="127"/>
      <c r="L30" s="127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</row>
    <row r="31" spans="1:26" x14ac:dyDescent="0.25">
      <c r="A31" s="59" t="s">
        <v>114</v>
      </c>
      <c r="B31" s="54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54"/>
      <c r="R31" s="55"/>
    </row>
    <row r="32" spans="1:26" x14ac:dyDescent="0.25">
      <c r="A32" s="14"/>
      <c r="B32" s="2"/>
      <c r="C32" s="145" t="s">
        <v>11</v>
      </c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62"/>
      <c r="P32" s="71" t="s">
        <v>29</v>
      </c>
      <c r="Q32" s="7" t="s">
        <v>39</v>
      </c>
      <c r="R32" s="13"/>
    </row>
    <row r="33" spans="1:18" x14ac:dyDescent="0.25">
      <c r="A33" s="14"/>
      <c r="B33" s="2"/>
      <c r="C33" s="146" t="s">
        <v>1</v>
      </c>
      <c r="D33" s="145"/>
      <c r="E33" s="145"/>
      <c r="F33" s="147"/>
      <c r="G33" s="145" t="s">
        <v>5</v>
      </c>
      <c r="H33" s="145"/>
      <c r="I33" s="145"/>
      <c r="J33" s="147"/>
      <c r="K33" s="148" t="s">
        <v>3</v>
      </c>
      <c r="L33" s="145"/>
      <c r="M33" s="145"/>
      <c r="N33" s="149"/>
      <c r="O33" s="62"/>
      <c r="P33" s="62"/>
      <c r="Q33" s="2"/>
      <c r="R33" s="13"/>
    </row>
    <row r="34" spans="1:18" ht="15.75" thickBot="1" x14ac:dyDescent="0.3">
      <c r="A34" s="14"/>
      <c r="B34" s="2"/>
      <c r="C34" s="72" t="s">
        <v>7</v>
      </c>
      <c r="D34" s="73" t="s">
        <v>8</v>
      </c>
      <c r="E34" s="73" t="s">
        <v>9</v>
      </c>
      <c r="F34" s="74" t="s">
        <v>0</v>
      </c>
      <c r="G34" s="73" t="s">
        <v>7</v>
      </c>
      <c r="H34" s="73" t="s">
        <v>8</v>
      </c>
      <c r="I34" s="73" t="s">
        <v>9</v>
      </c>
      <c r="J34" s="74" t="s">
        <v>0</v>
      </c>
      <c r="K34" s="73" t="s">
        <v>7</v>
      </c>
      <c r="L34" s="73" t="s">
        <v>8</v>
      </c>
      <c r="M34" s="73" t="s">
        <v>9</v>
      </c>
      <c r="N34" s="75" t="s">
        <v>0</v>
      </c>
      <c r="O34" s="62"/>
      <c r="P34" s="62"/>
      <c r="Q34" s="2"/>
      <c r="R34" s="13"/>
    </row>
    <row r="35" spans="1:18" ht="15.75" thickTop="1" x14ac:dyDescent="0.25">
      <c r="A35" s="150" t="s">
        <v>10</v>
      </c>
      <c r="B35" s="7" t="s">
        <v>7</v>
      </c>
      <c r="C35" s="61">
        <v>10466122.106470503</v>
      </c>
      <c r="D35" s="62">
        <v>628350.8817815003</v>
      </c>
      <c r="E35" s="62">
        <v>457506.28146904561</v>
      </c>
      <c r="F35" s="63">
        <v>368900.8611027372</v>
      </c>
      <c r="G35" s="62">
        <v>12086532.771041909</v>
      </c>
      <c r="H35" s="62">
        <v>200270.62762229715</v>
      </c>
      <c r="I35" s="62">
        <v>104705.10538294155</v>
      </c>
      <c r="J35" s="63">
        <v>84830.599063055852</v>
      </c>
      <c r="K35" s="62">
        <v>2263027.2446553828</v>
      </c>
      <c r="L35" s="62">
        <v>113235.49192823409</v>
      </c>
      <c r="M35" s="62">
        <v>86651.791349575462</v>
      </c>
      <c r="N35" s="64">
        <v>57986.695895420264</v>
      </c>
      <c r="O35" s="62"/>
      <c r="P35" s="62">
        <f>SUM(C35:N35)</f>
        <v>26918120.457762603</v>
      </c>
      <c r="Q35" s="56">
        <f>Q7</f>
        <v>26918120.457770899</v>
      </c>
      <c r="R35" s="115">
        <f>Q35-P35</f>
        <v>8.2962214946746826E-6</v>
      </c>
    </row>
    <row r="36" spans="1:18" x14ac:dyDescent="0.25">
      <c r="A36" s="150"/>
      <c r="B36" s="7" t="s">
        <v>8</v>
      </c>
      <c r="C36" s="61">
        <v>504266.10506544623</v>
      </c>
      <c r="D36" s="62">
        <v>21365600.784950688</v>
      </c>
      <c r="E36" s="62">
        <v>1156427.6632345279</v>
      </c>
      <c r="F36" s="63">
        <v>1201865.2461233805</v>
      </c>
      <c r="G36" s="62">
        <v>178799.27737711652</v>
      </c>
      <c r="H36" s="62">
        <v>19297344.402305428</v>
      </c>
      <c r="I36" s="62">
        <v>295152.93952675216</v>
      </c>
      <c r="J36" s="63">
        <v>358661.67451342707</v>
      </c>
      <c r="K36" s="62">
        <v>130719.65766893237</v>
      </c>
      <c r="L36" s="62">
        <v>4589952.0551661067</v>
      </c>
      <c r="M36" s="62">
        <v>245921.65480569511</v>
      </c>
      <c r="N36" s="64">
        <v>183939.90193250639</v>
      </c>
      <c r="O36" s="62"/>
      <c r="P36" s="62">
        <f t="shared" ref="P36:P39" si="7">SUM(C36:N36)</f>
        <v>49508651.362670012</v>
      </c>
      <c r="Q36" s="56">
        <f>Q8</f>
        <v>49508651.362665869</v>
      </c>
      <c r="R36" s="115">
        <f t="shared" ref="R36:R42" si="8">Q36-P36</f>
        <v>-4.1425228118896484E-6</v>
      </c>
    </row>
    <row r="37" spans="1:18" x14ac:dyDescent="0.25">
      <c r="A37" s="150"/>
      <c r="B37" s="7" t="s">
        <v>9</v>
      </c>
      <c r="C37" s="61">
        <v>434176.90581584111</v>
      </c>
      <c r="D37" s="62">
        <v>1167549.3310737668</v>
      </c>
      <c r="E37" s="62">
        <v>22566453.549229592</v>
      </c>
      <c r="F37" s="63">
        <v>732152.62623307318</v>
      </c>
      <c r="G37" s="62">
        <v>199292.80974916625</v>
      </c>
      <c r="H37" s="62">
        <v>485711.59635894449</v>
      </c>
      <c r="I37" s="62">
        <v>11125893.237435054</v>
      </c>
      <c r="J37" s="63">
        <v>199691.64463508799</v>
      </c>
      <c r="K37" s="62">
        <v>157207.98223364807</v>
      </c>
      <c r="L37" s="62">
        <v>222650.76146195468</v>
      </c>
      <c r="M37" s="62">
        <v>5757901.2823213004</v>
      </c>
      <c r="N37" s="64">
        <v>188507.09398590215</v>
      </c>
      <c r="O37" s="62"/>
      <c r="P37" s="62">
        <f t="shared" si="7"/>
        <v>43237188.820533335</v>
      </c>
      <c r="Q37" s="56">
        <f>Q9</f>
        <v>43237188.820529789</v>
      </c>
      <c r="R37" s="115">
        <f t="shared" si="8"/>
        <v>-3.5464763641357422E-6</v>
      </c>
    </row>
    <row r="38" spans="1:18" x14ac:dyDescent="0.25">
      <c r="A38" s="150"/>
      <c r="B38" s="7" t="s">
        <v>0</v>
      </c>
      <c r="C38" s="61">
        <v>352373.56542318681</v>
      </c>
      <c r="D38" s="62">
        <v>1013467.6171398686</v>
      </c>
      <c r="E38" s="62">
        <v>1152664.6854585349</v>
      </c>
      <c r="F38" s="63">
        <v>8927428.8166347109</v>
      </c>
      <c r="G38" s="62">
        <v>121742.98290323303</v>
      </c>
      <c r="H38" s="62">
        <v>372977.80150996952</v>
      </c>
      <c r="I38" s="62">
        <v>194130.40772774591</v>
      </c>
      <c r="J38" s="63">
        <v>7281710.5090687275</v>
      </c>
      <c r="K38" s="62">
        <v>23859.049372035064</v>
      </c>
      <c r="L38" s="62">
        <v>51540.011364703794</v>
      </c>
      <c r="M38" s="62">
        <v>93780.222587367025</v>
      </c>
      <c r="N38" s="64">
        <v>2518247.8923391607</v>
      </c>
      <c r="O38" s="62"/>
      <c r="P38" s="62">
        <f t="shared" si="7"/>
        <v>22103923.561529242</v>
      </c>
      <c r="Q38" s="56">
        <f>Q10</f>
        <v>22103923.561527923</v>
      </c>
      <c r="R38" s="115">
        <f t="shared" si="8"/>
        <v>-1.3187527656555176E-6</v>
      </c>
    </row>
    <row r="39" spans="1:18" x14ac:dyDescent="0.25">
      <c r="A39" s="57"/>
      <c r="B39" s="7" t="s">
        <v>90</v>
      </c>
      <c r="C39" s="62">
        <v>15161181.774995921</v>
      </c>
      <c r="D39" s="62">
        <v>0</v>
      </c>
      <c r="E39" s="62">
        <v>0</v>
      </c>
      <c r="F39" s="63">
        <v>0</v>
      </c>
      <c r="G39" s="62">
        <v>0</v>
      </c>
      <c r="H39" s="62">
        <v>0</v>
      </c>
      <c r="I39" s="62">
        <v>0</v>
      </c>
      <c r="J39" s="63">
        <v>0</v>
      </c>
      <c r="K39" s="62">
        <v>0</v>
      </c>
      <c r="L39" s="62">
        <v>0</v>
      </c>
      <c r="M39" s="62">
        <v>0</v>
      </c>
      <c r="N39" s="64">
        <v>0</v>
      </c>
      <c r="O39" s="62"/>
      <c r="P39" s="62">
        <f t="shared" si="7"/>
        <v>15161181.774995921</v>
      </c>
      <c r="Q39" s="56">
        <f>Q11</f>
        <v>15161181.775001423</v>
      </c>
      <c r="R39" s="115">
        <f t="shared" si="8"/>
        <v>5.5022537708282471E-6</v>
      </c>
    </row>
    <row r="40" spans="1:18" x14ac:dyDescent="0.25">
      <c r="A40" s="57"/>
      <c r="B40" s="7" t="s">
        <v>91</v>
      </c>
      <c r="C40" s="62">
        <v>0</v>
      </c>
      <c r="D40" s="62">
        <v>25333682.747720044</v>
      </c>
      <c r="E40" s="62">
        <v>0</v>
      </c>
      <c r="F40" s="63">
        <v>0</v>
      </c>
      <c r="G40" s="62">
        <v>0</v>
      </c>
      <c r="H40" s="62">
        <v>0</v>
      </c>
      <c r="I40" s="62">
        <v>0</v>
      </c>
      <c r="J40" s="63">
        <v>0</v>
      </c>
      <c r="K40" s="62">
        <v>0</v>
      </c>
      <c r="L40" s="62">
        <v>0</v>
      </c>
      <c r="M40" s="62">
        <v>0</v>
      </c>
      <c r="N40" s="64">
        <v>0</v>
      </c>
      <c r="O40" s="62"/>
      <c r="P40" s="62">
        <f>SUM(C40:O40)</f>
        <v>25333682.747720044</v>
      </c>
      <c r="Q40" s="56">
        <f>Q12</f>
        <v>25333682.747717638</v>
      </c>
      <c r="R40" s="115">
        <f t="shared" si="8"/>
        <v>-2.4065375328063965E-6</v>
      </c>
    </row>
    <row r="41" spans="1:18" x14ac:dyDescent="0.25">
      <c r="A41" s="57"/>
      <c r="B41" s="7" t="s">
        <v>92</v>
      </c>
      <c r="C41" s="62">
        <v>0</v>
      </c>
      <c r="D41" s="62">
        <v>0</v>
      </c>
      <c r="E41" s="62">
        <v>17904136.641138092</v>
      </c>
      <c r="F41" s="63">
        <v>0</v>
      </c>
      <c r="G41" s="62">
        <v>0</v>
      </c>
      <c r="H41" s="62">
        <v>0</v>
      </c>
      <c r="I41" s="62">
        <v>0</v>
      </c>
      <c r="J41" s="63">
        <v>0</v>
      </c>
      <c r="K41" s="62">
        <v>0</v>
      </c>
      <c r="L41" s="62">
        <v>0</v>
      </c>
      <c r="M41" s="62">
        <v>0</v>
      </c>
      <c r="N41" s="64">
        <v>0</v>
      </c>
      <c r="O41" s="62"/>
      <c r="P41" s="62">
        <f t="shared" ref="P41:P42" si="9">SUM(C41:O41)</f>
        <v>17904136.641138092</v>
      </c>
      <c r="Q41" s="56">
        <f>Q13</f>
        <v>17904136.641136434</v>
      </c>
      <c r="R41" s="115">
        <f t="shared" si="8"/>
        <v>-1.6577541828155518E-6</v>
      </c>
    </row>
    <row r="42" spans="1:18" x14ac:dyDescent="0.25">
      <c r="A42" s="57"/>
      <c r="B42" s="7" t="s">
        <v>93</v>
      </c>
      <c r="C42" s="66">
        <v>0</v>
      </c>
      <c r="D42" s="66">
        <v>0</v>
      </c>
      <c r="E42" s="66">
        <v>0</v>
      </c>
      <c r="F42" s="67">
        <v>10873576.011434017</v>
      </c>
      <c r="G42" s="124">
        <v>0</v>
      </c>
      <c r="H42" s="66">
        <v>0</v>
      </c>
      <c r="I42" s="66">
        <v>0</v>
      </c>
      <c r="J42" s="67">
        <v>0</v>
      </c>
      <c r="K42" s="66">
        <v>0</v>
      </c>
      <c r="L42" s="66">
        <v>0</v>
      </c>
      <c r="M42" s="66">
        <v>0</v>
      </c>
      <c r="N42" s="68">
        <v>0</v>
      </c>
      <c r="O42" s="62"/>
      <c r="P42" s="62">
        <f t="shared" si="9"/>
        <v>10873576.011434017</v>
      </c>
      <c r="Q42" s="56">
        <f>Q14</f>
        <v>10873576.011433288</v>
      </c>
      <c r="R42" s="115">
        <f t="shared" si="8"/>
        <v>-7.282942533493042E-7</v>
      </c>
    </row>
    <row r="43" spans="1:18" x14ac:dyDescent="0.25">
      <c r="A43" s="14"/>
      <c r="B43" s="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71">
        <f>SUM(P35:P42)</f>
        <v>211040461.37778324</v>
      </c>
      <c r="Q43" s="71">
        <f>SUM(Q35:Q42)</f>
        <v>211040461.3777833</v>
      </c>
      <c r="R43" s="13"/>
    </row>
    <row r="44" spans="1:18" x14ac:dyDescent="0.25">
      <c r="A44" s="14"/>
      <c r="B44" s="9" t="s">
        <v>77</v>
      </c>
      <c r="C44" s="62">
        <f>SUM(C35:C42)</f>
        <v>26918120.457770899</v>
      </c>
      <c r="D44" s="62">
        <f>SUM(D35:D42)</f>
        <v>49508651.362665869</v>
      </c>
      <c r="E44" s="62">
        <f>SUM(E35:E41)</f>
        <v>43237188.820529789</v>
      </c>
      <c r="F44" s="62">
        <f>SUM(F35:F42)</f>
        <v>22103923.561527919</v>
      </c>
      <c r="G44" s="62">
        <f>SUM(G35:G42)</f>
        <v>12586367.841071425</v>
      </c>
      <c r="H44" s="62">
        <f t="shared" ref="H44:N44" si="10">SUM(H35:H40)</f>
        <v>20356304.42779664</v>
      </c>
      <c r="I44" s="62">
        <f t="shared" si="10"/>
        <v>11719881.690072494</v>
      </c>
      <c r="J44" s="62">
        <f t="shared" si="10"/>
        <v>7924894.4272802984</v>
      </c>
      <c r="K44" s="62">
        <f t="shared" si="10"/>
        <v>2574813.9339299984</v>
      </c>
      <c r="L44" s="62">
        <f t="shared" si="10"/>
        <v>4977378.319920999</v>
      </c>
      <c r="M44" s="62">
        <f t="shared" si="10"/>
        <v>6184254.9510639375</v>
      </c>
      <c r="N44" s="62">
        <f t="shared" si="10"/>
        <v>2948681.5841529896</v>
      </c>
      <c r="O44" s="71">
        <f>SUM(C44:N44)</f>
        <v>211040461.37778327</v>
      </c>
      <c r="P44" s="62">
        <f>P43-O44</f>
        <v>0</v>
      </c>
      <c r="Q44" s="2"/>
      <c r="R44" s="13"/>
    </row>
    <row r="45" spans="1:18" x14ac:dyDescent="0.25">
      <c r="A45" s="14"/>
      <c r="B45" s="7" t="s">
        <v>78</v>
      </c>
      <c r="C45" s="116">
        <f>C17</f>
        <v>26918120.457770899</v>
      </c>
      <c r="D45" s="116">
        <f>D17</f>
        <v>49508651.362665869</v>
      </c>
      <c r="E45" s="116">
        <f>E17</f>
        <v>43237188.820529789</v>
      </c>
      <c r="F45" s="116">
        <f>F17</f>
        <v>22103923.561527923</v>
      </c>
      <c r="G45" s="116">
        <f>G17</f>
        <v>12586367.841071425</v>
      </c>
      <c r="H45" s="116">
        <f>H17</f>
        <v>20356304.42779664</v>
      </c>
      <c r="I45" s="116">
        <f>I17</f>
        <v>11719881.690072494</v>
      </c>
      <c r="J45" s="116">
        <f>J17</f>
        <v>7924894.4272802994</v>
      </c>
      <c r="K45" s="116">
        <f>K17</f>
        <v>2574813.933929998</v>
      </c>
      <c r="L45" s="116">
        <f>L17</f>
        <v>4977378.319920999</v>
      </c>
      <c r="M45" s="116">
        <f>M17</f>
        <v>6184254.9510639384</v>
      </c>
      <c r="N45" s="116">
        <f>N17</f>
        <v>2948681.5841529896</v>
      </c>
      <c r="O45" s="71">
        <f>SUM(C45:N45)</f>
        <v>211040461.3777833</v>
      </c>
      <c r="P45" s="2"/>
      <c r="Q45" s="120"/>
      <c r="R45" s="13"/>
    </row>
    <row r="46" spans="1:18" x14ac:dyDescent="0.25">
      <c r="A46" s="19"/>
      <c r="B46" s="20"/>
      <c r="C46" s="119">
        <f>C45-C44</f>
        <v>0</v>
      </c>
      <c r="D46" s="119">
        <f t="shared" ref="D46:N46" si="11">D45-D44</f>
        <v>0</v>
      </c>
      <c r="E46" s="119">
        <f t="shared" si="11"/>
        <v>0</v>
      </c>
      <c r="F46" s="119">
        <f t="shared" si="11"/>
        <v>0</v>
      </c>
      <c r="G46" s="119">
        <f t="shared" si="11"/>
        <v>0</v>
      </c>
      <c r="H46" s="119">
        <f t="shared" si="11"/>
        <v>0</v>
      </c>
      <c r="I46" s="119">
        <f t="shared" si="11"/>
        <v>0</v>
      </c>
      <c r="J46" s="119">
        <f t="shared" si="11"/>
        <v>0</v>
      </c>
      <c r="K46" s="119">
        <f t="shared" si="11"/>
        <v>0</v>
      </c>
      <c r="L46" s="119">
        <f t="shared" si="11"/>
        <v>0</v>
      </c>
      <c r="M46" s="119">
        <f t="shared" si="11"/>
        <v>0</v>
      </c>
      <c r="N46" s="119">
        <f t="shared" si="11"/>
        <v>0</v>
      </c>
      <c r="O46" s="20"/>
      <c r="P46" s="20"/>
      <c r="Q46" s="20"/>
      <c r="R46" s="21"/>
    </row>
    <row r="48" spans="1:18" x14ac:dyDescent="0.25">
      <c r="A48" s="59" t="s">
        <v>85</v>
      </c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5"/>
    </row>
    <row r="49" spans="1:18" x14ac:dyDescent="0.25">
      <c r="A49" s="14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13"/>
    </row>
    <row r="50" spans="1:18" x14ac:dyDescent="0.25">
      <c r="A50" s="14"/>
      <c r="B50" s="2"/>
      <c r="C50" s="152" t="s">
        <v>11</v>
      </c>
      <c r="D50" s="152"/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2"/>
      <c r="P50" s="7" t="s">
        <v>13</v>
      </c>
      <c r="Q50" s="2"/>
      <c r="R50" s="13"/>
    </row>
    <row r="51" spans="1:18" x14ac:dyDescent="0.25">
      <c r="A51" s="14"/>
      <c r="B51" s="2"/>
      <c r="C51" s="146" t="s">
        <v>1</v>
      </c>
      <c r="D51" s="145"/>
      <c r="E51" s="145"/>
      <c r="F51" s="147"/>
      <c r="G51" s="145" t="s">
        <v>5</v>
      </c>
      <c r="H51" s="145"/>
      <c r="I51" s="145"/>
      <c r="J51" s="147"/>
      <c r="K51" s="148" t="s">
        <v>3</v>
      </c>
      <c r="L51" s="145"/>
      <c r="M51" s="145"/>
      <c r="N51" s="149"/>
      <c r="O51" s="2"/>
      <c r="P51" s="2"/>
      <c r="Q51" s="2"/>
      <c r="R51" s="13"/>
    </row>
    <row r="52" spans="1:18" ht="15.75" thickBot="1" x14ac:dyDescent="0.3">
      <c r="A52" s="14"/>
      <c r="B52" s="2"/>
      <c r="C52" s="72" t="s">
        <v>7</v>
      </c>
      <c r="D52" s="73" t="s">
        <v>8</v>
      </c>
      <c r="E52" s="73" t="s">
        <v>9</v>
      </c>
      <c r="F52" s="74" t="s">
        <v>0</v>
      </c>
      <c r="G52" s="73" t="s">
        <v>7</v>
      </c>
      <c r="H52" s="73" t="s">
        <v>8</v>
      </c>
      <c r="I52" s="73" t="s">
        <v>9</v>
      </c>
      <c r="J52" s="74" t="s">
        <v>0</v>
      </c>
      <c r="K52" s="73" t="s">
        <v>7</v>
      </c>
      <c r="L52" s="73" t="s">
        <v>8</v>
      </c>
      <c r="M52" s="73" t="s">
        <v>9</v>
      </c>
      <c r="N52" s="75" t="s">
        <v>0</v>
      </c>
      <c r="O52" s="2"/>
      <c r="P52" s="2"/>
      <c r="Q52" s="2"/>
      <c r="R52" s="13"/>
    </row>
    <row r="53" spans="1:18" ht="15.75" thickTop="1" x14ac:dyDescent="0.25">
      <c r="A53" s="150" t="s">
        <v>10</v>
      </c>
      <c r="B53" s="7" t="s">
        <v>7</v>
      </c>
      <c r="C53" s="61">
        <f>C35</f>
        <v>10466122.106470503</v>
      </c>
      <c r="D53" s="62">
        <f t="shared" ref="D53:N53" si="12">D35</f>
        <v>628350.8817815003</v>
      </c>
      <c r="E53" s="62">
        <f t="shared" si="12"/>
        <v>457506.28146904561</v>
      </c>
      <c r="F53" s="63">
        <f t="shared" si="12"/>
        <v>368900.8611027372</v>
      </c>
      <c r="G53" s="62">
        <f t="shared" si="12"/>
        <v>12086532.771041909</v>
      </c>
      <c r="H53" s="62">
        <f t="shared" si="12"/>
        <v>200270.62762229715</v>
      </c>
      <c r="I53" s="62">
        <f t="shared" si="12"/>
        <v>104705.10538294155</v>
      </c>
      <c r="J53" s="63">
        <f t="shared" si="12"/>
        <v>84830.599063055852</v>
      </c>
      <c r="K53" s="62">
        <f t="shared" si="12"/>
        <v>2263027.2446553828</v>
      </c>
      <c r="L53" s="62">
        <f t="shared" si="12"/>
        <v>113235.49192823409</v>
      </c>
      <c r="M53" s="62">
        <f t="shared" si="12"/>
        <v>86651.791349575462</v>
      </c>
      <c r="N53" s="64">
        <f t="shared" si="12"/>
        <v>57986.695895420264</v>
      </c>
      <c r="O53" s="2"/>
      <c r="P53" s="2">
        <f>SUM(C53:N53)</f>
        <v>26918120.457762603</v>
      </c>
      <c r="Q53" s="2"/>
      <c r="R53" s="13"/>
    </row>
    <row r="54" spans="1:18" x14ac:dyDescent="0.25">
      <c r="A54" s="150"/>
      <c r="B54" s="7" t="s">
        <v>8</v>
      </c>
      <c r="C54" s="61">
        <f t="shared" ref="C54:N56" si="13">C36</f>
        <v>504266.10506544623</v>
      </c>
      <c r="D54" s="62">
        <f t="shared" si="13"/>
        <v>21365600.784950688</v>
      </c>
      <c r="E54" s="62">
        <f t="shared" si="13"/>
        <v>1156427.6632345279</v>
      </c>
      <c r="F54" s="63">
        <f t="shared" si="13"/>
        <v>1201865.2461233805</v>
      </c>
      <c r="G54" s="62">
        <f t="shared" si="13"/>
        <v>178799.27737711652</v>
      </c>
      <c r="H54" s="62">
        <f t="shared" si="13"/>
        <v>19297344.402305428</v>
      </c>
      <c r="I54" s="62">
        <f t="shared" si="13"/>
        <v>295152.93952675216</v>
      </c>
      <c r="J54" s="63">
        <f t="shared" si="13"/>
        <v>358661.67451342707</v>
      </c>
      <c r="K54" s="62">
        <f t="shared" si="13"/>
        <v>130719.65766893237</v>
      </c>
      <c r="L54" s="62">
        <f t="shared" si="13"/>
        <v>4589952.0551661067</v>
      </c>
      <c r="M54" s="62">
        <f t="shared" si="13"/>
        <v>245921.65480569511</v>
      </c>
      <c r="N54" s="64">
        <f t="shared" si="13"/>
        <v>183939.90193250639</v>
      </c>
      <c r="O54" s="2"/>
      <c r="P54" s="2">
        <f t="shared" ref="P54:P57" si="14">SUM(C54:N54)</f>
        <v>49508651.362670012</v>
      </c>
      <c r="Q54" s="2"/>
      <c r="R54" s="13"/>
    </row>
    <row r="55" spans="1:18" x14ac:dyDescent="0.25">
      <c r="A55" s="150"/>
      <c r="B55" s="7" t="s">
        <v>9</v>
      </c>
      <c r="C55" s="61">
        <f t="shared" si="13"/>
        <v>434176.90581584111</v>
      </c>
      <c r="D55" s="62">
        <f t="shared" si="13"/>
        <v>1167549.3310737668</v>
      </c>
      <c r="E55" s="62">
        <f t="shared" si="13"/>
        <v>22566453.549229592</v>
      </c>
      <c r="F55" s="63">
        <f t="shared" si="13"/>
        <v>732152.62623307318</v>
      </c>
      <c r="G55" s="62">
        <f t="shared" si="13"/>
        <v>199292.80974916625</v>
      </c>
      <c r="H55" s="62">
        <f t="shared" si="13"/>
        <v>485711.59635894449</v>
      </c>
      <c r="I55" s="62">
        <f t="shared" si="13"/>
        <v>11125893.237435054</v>
      </c>
      <c r="J55" s="63">
        <f t="shared" si="13"/>
        <v>199691.64463508799</v>
      </c>
      <c r="K55" s="62">
        <f t="shared" si="13"/>
        <v>157207.98223364807</v>
      </c>
      <c r="L55" s="62">
        <f t="shared" si="13"/>
        <v>222650.76146195468</v>
      </c>
      <c r="M55" s="62">
        <f t="shared" si="13"/>
        <v>5757901.2823213004</v>
      </c>
      <c r="N55" s="64">
        <f t="shared" si="13"/>
        <v>188507.09398590215</v>
      </c>
      <c r="O55" s="2"/>
      <c r="P55" s="2">
        <f t="shared" si="14"/>
        <v>43237188.820533335</v>
      </c>
      <c r="Q55" s="2"/>
      <c r="R55" s="13"/>
    </row>
    <row r="56" spans="1:18" x14ac:dyDescent="0.25">
      <c r="A56" s="150"/>
      <c r="B56" s="7" t="s">
        <v>0</v>
      </c>
      <c r="C56" s="61">
        <f t="shared" si="13"/>
        <v>352373.56542318681</v>
      </c>
      <c r="D56" s="62">
        <f t="shared" si="13"/>
        <v>1013467.6171398686</v>
      </c>
      <c r="E56" s="62">
        <f t="shared" si="13"/>
        <v>1152664.6854585349</v>
      </c>
      <c r="F56" s="63">
        <f t="shared" si="13"/>
        <v>8927428.8166347109</v>
      </c>
      <c r="G56" s="62">
        <f t="shared" si="13"/>
        <v>121742.98290323303</v>
      </c>
      <c r="H56" s="62">
        <f t="shared" si="13"/>
        <v>372977.80150996952</v>
      </c>
      <c r="I56" s="62">
        <f t="shared" si="13"/>
        <v>194130.40772774591</v>
      </c>
      <c r="J56" s="63">
        <f t="shared" si="13"/>
        <v>7281710.5090687275</v>
      </c>
      <c r="K56" s="62">
        <f t="shared" si="13"/>
        <v>23859.049372035064</v>
      </c>
      <c r="L56" s="62">
        <f t="shared" si="13"/>
        <v>51540.011364703794</v>
      </c>
      <c r="M56" s="62">
        <f t="shared" si="13"/>
        <v>93780.222587367025</v>
      </c>
      <c r="N56" s="64">
        <f t="shared" si="13"/>
        <v>2518247.8923391607</v>
      </c>
      <c r="O56" s="2"/>
      <c r="P56" s="2">
        <f t="shared" si="14"/>
        <v>22103923.561529242</v>
      </c>
      <c r="Q56" s="2"/>
      <c r="R56" s="13"/>
    </row>
    <row r="57" spans="1:18" x14ac:dyDescent="0.25">
      <c r="A57" s="57"/>
      <c r="B57" s="7" t="s">
        <v>2</v>
      </c>
      <c r="C57" s="65">
        <f>C39</f>
        <v>15161181.774995921</v>
      </c>
      <c r="D57" s="66">
        <f>D40</f>
        <v>25333682.747720044</v>
      </c>
      <c r="E57" s="66">
        <f>E41</f>
        <v>17904136.641138092</v>
      </c>
      <c r="F57" s="67">
        <f>F42</f>
        <v>10873576.011434017</v>
      </c>
      <c r="G57" s="66">
        <f>SUM(G39:G42)</f>
        <v>0</v>
      </c>
      <c r="H57" s="66">
        <f t="shared" ref="H57:N57" si="15">SUM(H39:H42)</f>
        <v>0</v>
      </c>
      <c r="I57" s="66">
        <f t="shared" si="15"/>
        <v>0</v>
      </c>
      <c r="J57" s="67">
        <f t="shared" si="15"/>
        <v>0</v>
      </c>
      <c r="K57" s="66">
        <f t="shared" si="15"/>
        <v>0</v>
      </c>
      <c r="L57" s="66">
        <f t="shared" si="15"/>
        <v>0</v>
      </c>
      <c r="M57" s="66">
        <f t="shared" si="15"/>
        <v>0</v>
      </c>
      <c r="N57" s="68">
        <f t="shared" si="15"/>
        <v>0</v>
      </c>
      <c r="O57" s="2"/>
      <c r="P57" s="2">
        <f t="shared" si="14"/>
        <v>69272577.175288066</v>
      </c>
      <c r="Q57" s="2"/>
      <c r="R57" s="13"/>
    </row>
    <row r="58" spans="1:18" x14ac:dyDescent="0.25">
      <c r="A58" s="14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7">
        <f>SUM(P53:P57)</f>
        <v>211040461.37778324</v>
      </c>
      <c r="Q58" s="2"/>
      <c r="R58" s="13"/>
    </row>
    <row r="59" spans="1:18" x14ac:dyDescent="0.25">
      <c r="A59" s="14"/>
      <c r="B59" s="9" t="s">
        <v>12</v>
      </c>
      <c r="C59" s="2">
        <f>SUM(C53:C57)</f>
        <v>26918120.457770899</v>
      </c>
      <c r="D59" s="2">
        <f t="shared" ref="D59:N59" si="16">SUM(D53:D57)</f>
        <v>49508651.362665869</v>
      </c>
      <c r="E59" s="2">
        <f t="shared" si="16"/>
        <v>43237188.820529789</v>
      </c>
      <c r="F59" s="2">
        <f t="shared" si="16"/>
        <v>22103923.561527919</v>
      </c>
      <c r="G59" s="2">
        <f t="shared" si="16"/>
        <v>12586367.841071425</v>
      </c>
      <c r="H59" s="2">
        <f t="shared" si="16"/>
        <v>20356304.42779664</v>
      </c>
      <c r="I59" s="2">
        <f t="shared" si="16"/>
        <v>11719881.690072494</v>
      </c>
      <c r="J59" s="2">
        <f t="shared" si="16"/>
        <v>7924894.4272802984</v>
      </c>
      <c r="K59" s="2">
        <f t="shared" si="16"/>
        <v>2574813.9339299984</v>
      </c>
      <c r="L59" s="2">
        <f t="shared" si="16"/>
        <v>4977378.319920999</v>
      </c>
      <c r="M59" s="2">
        <f t="shared" si="16"/>
        <v>6184254.9510639375</v>
      </c>
      <c r="N59" s="2">
        <f t="shared" si="16"/>
        <v>2948681.5841529896</v>
      </c>
      <c r="O59" s="7">
        <f>SUM(C59:N59)</f>
        <v>211040461.37778327</v>
      </c>
      <c r="P59" s="2"/>
      <c r="Q59" s="2"/>
      <c r="R59" s="13"/>
    </row>
    <row r="60" spans="1:18" x14ac:dyDescent="0.25">
      <c r="A60" s="19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1"/>
    </row>
    <row r="63" spans="1:18" x14ac:dyDescent="0.25">
      <c r="C63" s="3" t="s">
        <v>7</v>
      </c>
      <c r="D63" s="3" t="s">
        <v>8</v>
      </c>
      <c r="E63" s="3" t="s">
        <v>9</v>
      </c>
      <c r="F63" s="3" t="s">
        <v>0</v>
      </c>
    </row>
    <row r="64" spans="1:18" x14ac:dyDescent="0.25">
      <c r="B64" s="42" t="s">
        <v>44</v>
      </c>
      <c r="C64" s="3"/>
      <c r="D64" s="3"/>
      <c r="E64" s="3"/>
      <c r="F64" s="3"/>
    </row>
    <row r="65" spans="2:6" x14ac:dyDescent="0.25">
      <c r="B65" s="3" t="s">
        <v>4</v>
      </c>
      <c r="C65" s="76">
        <f>C57</f>
        <v>15161181.774995921</v>
      </c>
      <c r="D65" s="76">
        <f t="shared" ref="D65:F65" si="17">D57</f>
        <v>25333682.747720044</v>
      </c>
      <c r="E65" s="76">
        <f t="shared" si="17"/>
        <v>17904136.641138092</v>
      </c>
      <c r="F65" s="76">
        <f t="shared" si="17"/>
        <v>10873576.011434017</v>
      </c>
    </row>
    <row r="66" spans="2:6" x14ac:dyDescent="0.25">
      <c r="B66" s="3" t="s">
        <v>6</v>
      </c>
      <c r="C66" s="76">
        <f>C59</f>
        <v>26918120.457770899</v>
      </c>
      <c r="D66" s="76">
        <f t="shared" ref="D66:F66" si="18">D59</f>
        <v>49508651.362665869</v>
      </c>
      <c r="E66" s="76">
        <f t="shared" si="18"/>
        <v>43237188.820529789</v>
      </c>
      <c r="F66" s="76">
        <f t="shared" si="18"/>
        <v>22103923.561527919</v>
      </c>
    </row>
    <row r="67" spans="2:6" x14ac:dyDescent="0.25">
      <c r="B67" s="3"/>
      <c r="C67" s="76"/>
      <c r="D67" s="76"/>
      <c r="E67" s="76"/>
      <c r="F67" s="76"/>
    </row>
    <row r="68" spans="2:6" x14ac:dyDescent="0.25">
      <c r="B68" s="42" t="s">
        <v>45</v>
      </c>
      <c r="C68" s="76"/>
      <c r="D68" s="76"/>
      <c r="E68" s="76"/>
      <c r="F68" s="76"/>
    </row>
    <row r="69" spans="2:6" x14ac:dyDescent="0.25">
      <c r="B69" s="3" t="s">
        <v>30</v>
      </c>
      <c r="C69" s="76">
        <f>SUM(D53:F53,H53:J53,L53:N53)</f>
        <v>2102438.3355948078</v>
      </c>
      <c r="D69" s="76">
        <f>SUM(C54,E54:F54,G54,I54:J54,K54,M54:N54)</f>
        <v>4255754.1202477841</v>
      </c>
      <c r="E69" s="76">
        <f>SUM(C55:D55,F55,G55:H55,J55,K55:L55,N55)</f>
        <v>3786940.751547385</v>
      </c>
      <c r="F69" s="76">
        <f>SUM(C56:E56,G56:I56,K56:M56)</f>
        <v>3376536.3434866448</v>
      </c>
    </row>
    <row r="70" spans="2:6" x14ac:dyDescent="0.25">
      <c r="B70" s="3" t="s">
        <v>31</v>
      </c>
      <c r="C70" s="76">
        <f>SUM(C54:C56,G54:G56,K54:K56)</f>
        <v>2102438.3356086053</v>
      </c>
      <c r="D70" s="76">
        <f>SUM(D53,D55:D56,H53,H55:H56,L53,L55:L56)</f>
        <v>4255754.1202412397</v>
      </c>
      <c r="E70" s="76">
        <f>SUM(E53:E54,E56,I53:I54,I56,M53:M54,M56)</f>
        <v>3786940.7515421859</v>
      </c>
      <c r="F70" s="76">
        <f>SUM(F53:F55,J53:J55,N53:N55)</f>
        <v>3376536.3434845908</v>
      </c>
    </row>
    <row r="71" spans="2:6" x14ac:dyDescent="0.25">
      <c r="B71" s="3" t="s">
        <v>32</v>
      </c>
      <c r="C71" s="76">
        <f>C69-C70</f>
        <v>-1.3797543942928314E-5</v>
      </c>
      <c r="D71" s="76">
        <f t="shared" ref="D71:F71" si="19">D69-D70</f>
        <v>6.5444037318229675E-6</v>
      </c>
      <c r="E71" s="76">
        <f t="shared" si="19"/>
        <v>5.1991082727909088E-6</v>
      </c>
      <c r="F71" s="76">
        <f t="shared" si="19"/>
        <v>2.0540319383144379E-6</v>
      </c>
    </row>
    <row r="72" spans="2:6" x14ac:dyDescent="0.25">
      <c r="B72" s="3" t="s">
        <v>46</v>
      </c>
      <c r="C72" s="76">
        <f>C69/C$65</f>
        <v>0.13867245751661555</v>
      </c>
      <c r="D72" s="76">
        <f>D69/D$65</f>
        <v>0.16798797721704276</v>
      </c>
      <c r="E72" s="76">
        <f>E69/E$65</f>
        <v>0.21151205598186637</v>
      </c>
      <c r="F72" s="76">
        <f>F69/F$65</f>
        <v>0.31052676138338264</v>
      </c>
    </row>
    <row r="73" spans="2:6" x14ac:dyDescent="0.25">
      <c r="B73" s="3" t="s">
        <v>47</v>
      </c>
      <c r="C73" s="76">
        <f>C70/C$65</f>
        <v>0.1386724575175256</v>
      </c>
      <c r="D73" s="76">
        <f>D70/D$65</f>
        <v>0.16798797721678443</v>
      </c>
      <c r="E73" s="76">
        <f>E70/E$65</f>
        <v>0.21151205598157599</v>
      </c>
      <c r="F73" s="76">
        <f>F70/F$65</f>
        <v>0.31052676138319379</v>
      </c>
    </row>
    <row r="74" spans="2:6" x14ac:dyDescent="0.25">
      <c r="B74" s="3" t="s">
        <v>48</v>
      </c>
      <c r="C74" s="76">
        <f>C71/C$65</f>
        <v>-9.1005728627853122E-13</v>
      </c>
      <c r="D74" s="76">
        <f>D71/D$65</f>
        <v>2.5832816322024654E-13</v>
      </c>
      <c r="E74" s="76">
        <f>E71/E$65</f>
        <v>2.9038586875197256E-13</v>
      </c>
      <c r="F74" s="76">
        <f>F71/F$65</f>
        <v>1.8890123508168224E-13</v>
      </c>
    </row>
    <row r="75" spans="2:6" x14ac:dyDescent="0.25">
      <c r="B75" s="3" t="s">
        <v>119</v>
      </c>
      <c r="C75" s="76">
        <f>(C69+C70)/(C$65)</f>
        <v>0.27734491503414116</v>
      </c>
      <c r="D75" s="76">
        <f>(D69+D70)/(D$65)</f>
        <v>0.33597595443382722</v>
      </c>
      <c r="E75" s="76">
        <f>(E69+E70)/(E$65)</f>
        <v>0.42302411196344236</v>
      </c>
      <c r="F75" s="76">
        <f>(F69+F70)/(F$65)</f>
        <v>0.62105352276657644</v>
      </c>
    </row>
    <row r="76" spans="2:6" x14ac:dyDescent="0.25">
      <c r="B76" s="3" t="s">
        <v>94</v>
      </c>
      <c r="C76" s="136">
        <f>C71/SUM($C$65:$F$65)</f>
        <v>-1.9917757510327444E-13</v>
      </c>
      <c r="D76" s="136">
        <f>D71/SUM($C$65:$F$65)</f>
        <v>9.4473224451617252E-14</v>
      </c>
      <c r="E76" s="136">
        <f>E71/SUM($C$65:$F$65)</f>
        <v>7.5052906717113034E-14</v>
      </c>
      <c r="F76" s="136">
        <f>F71/SUM($C$65:$F$65)</f>
        <v>2.9651443934544163E-14</v>
      </c>
    </row>
    <row r="77" spans="2:6" x14ac:dyDescent="0.25">
      <c r="B77" s="3"/>
      <c r="C77" s="76"/>
      <c r="D77" s="76"/>
      <c r="E77" s="76"/>
      <c r="F77" s="76"/>
    </row>
    <row r="78" spans="2:6" x14ac:dyDescent="0.25">
      <c r="B78" s="42" t="s">
        <v>49</v>
      </c>
      <c r="C78" s="76"/>
      <c r="D78" s="76"/>
      <c r="E78" s="76"/>
      <c r="F78" s="76"/>
    </row>
    <row r="79" spans="2:6" x14ac:dyDescent="0.25">
      <c r="B79" s="3" t="s">
        <v>33</v>
      </c>
      <c r="C79" s="76">
        <f>SUM(D53:F53)</f>
        <v>1454758.0243532832</v>
      </c>
      <c r="D79" s="76">
        <f>SUM(C54,E54:F54)</f>
        <v>2862559.0144233545</v>
      </c>
      <c r="E79" s="76">
        <f>SUM(C55:D55,F55)</f>
        <v>2333878.8631226812</v>
      </c>
      <c r="F79" s="76">
        <f>SUM(C56:E56)</f>
        <v>2518505.8680215902</v>
      </c>
    </row>
    <row r="80" spans="2:6" x14ac:dyDescent="0.25">
      <c r="B80" s="3" t="s">
        <v>34</v>
      </c>
      <c r="C80" s="76">
        <f>SUM(C54:C56)</f>
        <v>1290816.5763044741</v>
      </c>
      <c r="D80" s="76">
        <f>SUM(D53,D55:D56)</f>
        <v>2809367.8299951358</v>
      </c>
      <c r="E80" s="76">
        <f>SUM(E53:E54,E56)</f>
        <v>2766598.6301621087</v>
      </c>
      <c r="F80" s="76">
        <f>SUM(F53:F55)</f>
        <v>2302918.7334591909</v>
      </c>
    </row>
    <row r="81" spans="2:6" x14ac:dyDescent="0.25">
      <c r="B81" s="3" t="s">
        <v>35</v>
      </c>
      <c r="C81" s="76">
        <f>C79-C80</f>
        <v>163941.44804880908</v>
      </c>
      <c r="D81" s="76">
        <f t="shared" ref="D81:F81" si="20">D79-D80</f>
        <v>53191.184428218752</v>
      </c>
      <c r="E81" s="76">
        <f t="shared" si="20"/>
        <v>-432719.76703942753</v>
      </c>
      <c r="F81" s="76">
        <f t="shared" si="20"/>
        <v>215587.13456239924</v>
      </c>
    </row>
    <row r="82" spans="2:6" x14ac:dyDescent="0.25">
      <c r="B82" s="3" t="s">
        <v>51</v>
      </c>
      <c r="C82" s="76">
        <f>C79/C$65</f>
        <v>9.5952811986760478E-2</v>
      </c>
      <c r="D82" s="76">
        <f>D79/D$65</f>
        <v>0.11299419207738268</v>
      </c>
      <c r="E82" s="76">
        <f>E79/E$65</f>
        <v>0.13035416953644999</v>
      </c>
      <c r="F82" s="76">
        <f>F79/F$65</f>
        <v>0.23161707476668913</v>
      </c>
    </row>
    <row r="83" spans="2:6" x14ac:dyDescent="0.25">
      <c r="B83" s="3" t="s">
        <v>52</v>
      </c>
      <c r="C83" s="76">
        <f>C80/C$65</f>
        <v>8.5139575229769407E-2</v>
      </c>
      <c r="D83" s="76">
        <f>D80/D$65</f>
        <v>0.1108945690198939</v>
      </c>
      <c r="E83" s="76">
        <f>E80/E$65</f>
        <v>0.15452287287650232</v>
      </c>
      <c r="F83" s="76">
        <f>F80/F$65</f>
        <v>0.2117903743016627</v>
      </c>
    </row>
    <row r="84" spans="2:6" x14ac:dyDescent="0.25">
      <c r="B84" s="3" t="s">
        <v>53</v>
      </c>
      <c r="C84" s="76">
        <f>C81/C$65</f>
        <v>1.0813236756991074E-2</v>
      </c>
      <c r="D84" s="76">
        <f>D81/D$65</f>
        <v>2.0996230574887812E-3</v>
      </c>
      <c r="E84" s="76">
        <f>E81/E$65</f>
        <v>-2.4168703340052333E-2</v>
      </c>
      <c r="F84" s="76">
        <f>F81/F$65</f>
        <v>1.9826700465026447E-2</v>
      </c>
    </row>
    <row r="85" spans="2:6" x14ac:dyDescent="0.25">
      <c r="B85" s="3" t="s">
        <v>98</v>
      </c>
      <c r="C85" s="76">
        <f>C80/(C66-C65)</f>
        <v>0.10979189490846303</v>
      </c>
      <c r="D85" s="76">
        <f t="shared" ref="D85:F85" si="21">D80/(D66-D65)</f>
        <v>0.1162097818922621</v>
      </c>
      <c r="E85" s="76">
        <f t="shared" si="21"/>
        <v>0.10920905268622634</v>
      </c>
      <c r="F85" s="76">
        <f t="shared" si="21"/>
        <v>0.20506210722213447</v>
      </c>
    </row>
    <row r="86" spans="2:6" x14ac:dyDescent="0.25">
      <c r="B86" s="3" t="s">
        <v>158</v>
      </c>
      <c r="C86" s="76">
        <f>(C79+C80)/(C69+C70)</f>
        <v>0.65295008994211212</v>
      </c>
      <c r="D86" s="76">
        <f>(D79+D80)/(D69+D70)</f>
        <v>0.66638328768070521</v>
      </c>
      <c r="E86" s="76">
        <f>(E79+E80)/(E69+E70)</f>
        <v>0.67342979834107264</v>
      </c>
      <c r="F86" s="76">
        <f>(F79+F80)/(F69+F70)</f>
        <v>0.71396012229852035</v>
      </c>
    </row>
    <row r="87" spans="2:6" x14ac:dyDescent="0.25">
      <c r="B87" s="3"/>
      <c r="C87" s="76"/>
      <c r="D87" s="76"/>
      <c r="E87" s="76"/>
      <c r="F87" s="76"/>
    </row>
    <row r="88" spans="2:6" x14ac:dyDescent="0.25">
      <c r="B88" s="42" t="s">
        <v>50</v>
      </c>
      <c r="C88" s="76"/>
      <c r="D88" s="76"/>
      <c r="E88" s="76"/>
      <c r="F88" s="76"/>
    </row>
    <row r="89" spans="2:6" x14ac:dyDescent="0.25">
      <c r="B89" s="3" t="s">
        <v>36</v>
      </c>
      <c r="C89" s="76">
        <f>C69-C79</f>
        <v>647680.31124152453</v>
      </c>
      <c r="D89" s="76">
        <f>D69-D79</f>
        <v>1393195.1058244295</v>
      </c>
      <c r="E89" s="76">
        <f>E69-E79</f>
        <v>1453061.8884247039</v>
      </c>
      <c r="F89" s="76">
        <f>F69-F79</f>
        <v>858030.47546505462</v>
      </c>
    </row>
    <row r="90" spans="2:6" x14ac:dyDescent="0.25">
      <c r="B90" s="3" t="s">
        <v>37</v>
      </c>
      <c r="C90" s="76">
        <f>C70-C80</f>
        <v>811621.75930413115</v>
      </c>
      <c r="D90" s="76">
        <f>D70-D80</f>
        <v>1446386.2902461039</v>
      </c>
      <c r="E90" s="76">
        <f>E70-E80</f>
        <v>1020342.1213800772</v>
      </c>
      <c r="F90" s="76">
        <f>F70-F80</f>
        <v>1073617.6100253998</v>
      </c>
    </row>
    <row r="91" spans="2:6" x14ac:dyDescent="0.25">
      <c r="B91" s="3" t="s">
        <v>38</v>
      </c>
      <c r="C91" s="76">
        <f>C89-C90</f>
        <v>-163941.44806260662</v>
      </c>
      <c r="D91" s="76">
        <f t="shared" ref="D91:F91" si="22">D89-D90</f>
        <v>-53191.184421674348</v>
      </c>
      <c r="E91" s="76">
        <f t="shared" si="22"/>
        <v>432719.76704462664</v>
      </c>
      <c r="F91" s="76">
        <f t="shared" si="22"/>
        <v>-215587.13456034521</v>
      </c>
    </row>
    <row r="92" spans="2:6" x14ac:dyDescent="0.25">
      <c r="B92" s="3" t="s">
        <v>54</v>
      </c>
      <c r="C92" s="76">
        <f>C89/C$65</f>
        <v>4.2719645529855063E-2</v>
      </c>
      <c r="D92" s="76">
        <f>D89/D$65</f>
        <v>5.4993785139660079E-2</v>
      </c>
      <c r="E92" s="76">
        <f>E89/E$65</f>
        <v>8.1157886445416383E-2</v>
      </c>
      <c r="F92" s="76">
        <f>F89/F$65</f>
        <v>7.8909686616693522E-2</v>
      </c>
    </row>
    <row r="93" spans="2:6" x14ac:dyDescent="0.25">
      <c r="B93" s="3" t="s">
        <v>55</v>
      </c>
      <c r="C93" s="76">
        <f>C90/C$65</f>
        <v>5.3532882287756191E-2</v>
      </c>
      <c r="D93" s="76">
        <f>D90/D$65</f>
        <v>5.7093408196890537E-2</v>
      </c>
      <c r="E93" s="76">
        <f>E90/E$65</f>
        <v>5.6989183105073664E-2</v>
      </c>
      <c r="F93" s="76">
        <f>F90/F$65</f>
        <v>9.8736387081531068E-2</v>
      </c>
    </row>
    <row r="94" spans="2:6" x14ac:dyDescent="0.25">
      <c r="B94" s="3" t="s">
        <v>56</v>
      </c>
      <c r="C94" s="76">
        <f>C91/C$65</f>
        <v>-1.0813236757901131E-2</v>
      </c>
      <c r="D94" s="76">
        <f>D91/D$65</f>
        <v>-2.0996230572304531E-3</v>
      </c>
      <c r="E94" s="76">
        <f>E91/E$65</f>
        <v>2.4168703340342719E-2</v>
      </c>
      <c r="F94" s="76">
        <f>F91/F$65</f>
        <v>-1.9826700464837546E-2</v>
      </c>
    </row>
    <row r="95" spans="2:6" x14ac:dyDescent="0.25">
      <c r="B95" s="3" t="s">
        <v>71</v>
      </c>
      <c r="C95" s="76">
        <f>(C89+C90)/(2*C$65)</f>
        <v>4.812626390880563E-2</v>
      </c>
      <c r="D95" s="76">
        <f>(D89+D90)/(2*D$65)</f>
        <v>5.6043596668275311E-2</v>
      </c>
      <c r="E95" s="76">
        <f>(E89+E90)/(2*E$65)</f>
        <v>6.9073534775245013E-2</v>
      </c>
      <c r="F95" s="76">
        <f>(F89+F90)/(2*F$65)</f>
        <v>8.8823036849112302E-2</v>
      </c>
    </row>
    <row r="96" spans="2:6" x14ac:dyDescent="0.25">
      <c r="B96" s="3" t="s">
        <v>99</v>
      </c>
      <c r="C96" s="76">
        <f>C90/(G59+K59)</f>
        <v>5.3532882287736762E-2</v>
      </c>
      <c r="D96" s="76">
        <f>D90/(H59+L59)</f>
        <v>5.7093408196895956E-2</v>
      </c>
      <c r="E96" s="76">
        <f>E90/(I59+M59)</f>
        <v>5.6989183105078951E-2</v>
      </c>
      <c r="F96" s="76">
        <f>F90/(J59+N59)</f>
        <v>9.8736387081537688E-2</v>
      </c>
    </row>
    <row r="97" spans="2:6" x14ac:dyDescent="0.25">
      <c r="C97" s="76"/>
      <c r="D97" s="76"/>
      <c r="E97" s="76"/>
      <c r="F97" s="76"/>
    </row>
    <row r="98" spans="2:6" x14ac:dyDescent="0.25">
      <c r="B98" s="42" t="s">
        <v>57</v>
      </c>
      <c r="C98" s="76"/>
      <c r="D98" s="76"/>
      <c r="E98" s="76"/>
      <c r="F98" s="76"/>
    </row>
    <row r="99" spans="2:6" x14ac:dyDescent="0.25">
      <c r="B99" s="3" t="s">
        <v>58</v>
      </c>
      <c r="C99" s="76">
        <f>SUM(H53:J53)</f>
        <v>389806.33206829452</v>
      </c>
      <c r="D99" s="76">
        <f>SUM(G54,I54:J54)</f>
        <v>832613.89141729579</v>
      </c>
      <c r="E99" s="76">
        <f>SUM(G55:H55,J55)</f>
        <v>884696.05074319872</v>
      </c>
      <c r="F99" s="76">
        <f>SUM(G56:I56)</f>
        <v>688851.19214094849</v>
      </c>
    </row>
    <row r="100" spans="2:6" x14ac:dyDescent="0.25">
      <c r="B100" s="3" t="s">
        <v>59</v>
      </c>
      <c r="C100" s="76">
        <f>SUM(G54:G56)</f>
        <v>499835.07002951577</v>
      </c>
      <c r="D100" s="76">
        <f>SUM(H53,H55:H56)</f>
        <v>1058960.0254912111</v>
      </c>
      <c r="E100" s="76">
        <f>SUM(I53:I54,I56)</f>
        <v>593988.45263743959</v>
      </c>
      <c r="F100" s="76">
        <f>SUM(J53:J55)</f>
        <v>643183.91821157094</v>
      </c>
    </row>
    <row r="101" spans="2:6" x14ac:dyDescent="0.25">
      <c r="B101" s="3" t="s">
        <v>60</v>
      </c>
      <c r="C101" s="76">
        <f>C99-C100</f>
        <v>-110028.73796122125</v>
      </c>
      <c r="D101" s="76">
        <f t="shared" ref="D101:F101" si="23">D99-D100</f>
        <v>-226346.13407391531</v>
      </c>
      <c r="E101" s="76">
        <f t="shared" si="23"/>
        <v>290707.59810575913</v>
      </c>
      <c r="F101" s="76">
        <f t="shared" si="23"/>
        <v>45667.273929377552</v>
      </c>
    </row>
    <row r="102" spans="2:6" x14ac:dyDescent="0.25">
      <c r="B102" s="3" t="s">
        <v>61</v>
      </c>
      <c r="C102" s="76">
        <f>C99/C$65</f>
        <v>2.5710814490145468E-2</v>
      </c>
      <c r="D102" s="76">
        <f>D99/D$65</f>
        <v>3.2865884510700626E-2</v>
      </c>
      <c r="E102" s="76">
        <f>E99/E$65</f>
        <v>4.941294118089138E-2</v>
      </c>
      <c r="F102" s="76">
        <f>F99/F$65</f>
        <v>6.3350933622627267E-2</v>
      </c>
    </row>
    <row r="103" spans="2:6" x14ac:dyDescent="0.25">
      <c r="B103" s="3" t="s">
        <v>62</v>
      </c>
      <c r="C103" s="76">
        <f>C100/C$65</f>
        <v>3.2968081080186791E-2</v>
      </c>
      <c r="D103" s="76">
        <f>D100/D$65</f>
        <v>4.180047709749244E-2</v>
      </c>
      <c r="E103" s="76">
        <f>E100/E$65</f>
        <v>3.317604554428167E-2</v>
      </c>
      <c r="F103" s="76">
        <f>F100/F$65</f>
        <v>5.9151094132715527E-2</v>
      </c>
    </row>
    <row r="104" spans="2:6" x14ac:dyDescent="0.25">
      <c r="B104" s="3" t="s">
        <v>63</v>
      </c>
      <c r="C104" s="76">
        <f>C101/C$65</f>
        <v>-7.2572665900413197E-3</v>
      </c>
      <c r="D104" s="76">
        <f>D101/D$65</f>
        <v>-8.9345925867918199E-3</v>
      </c>
      <c r="E104" s="76">
        <f>E101/E$65</f>
        <v>1.6236895636609711E-2</v>
      </c>
      <c r="F104" s="76">
        <f>F101/F$65</f>
        <v>4.1998394899117383E-3</v>
      </c>
    </row>
    <row r="105" spans="2:6" x14ac:dyDescent="0.25">
      <c r="B105" s="3" t="s">
        <v>71</v>
      </c>
      <c r="C105" s="76">
        <f>(C99+C100)/(2*C$65)</f>
        <v>2.9339447785166128E-2</v>
      </c>
      <c r="D105" s="76">
        <f>(D99+D100)/(2*D$65)</f>
        <v>3.7333180804096533E-2</v>
      </c>
      <c r="E105" s="76">
        <f>(E99+E100)/(2*E$65)</f>
        <v>4.1294493362586525E-2</v>
      </c>
      <c r="F105" s="76">
        <f>(F99+F100)/(2*F$65)</f>
        <v>6.1251013877671394E-2</v>
      </c>
    </row>
    <row r="106" spans="2:6" x14ac:dyDescent="0.25">
      <c r="C106" s="76"/>
      <c r="D106" s="76"/>
      <c r="E106" s="76"/>
      <c r="F106" s="76"/>
    </row>
    <row r="107" spans="2:6" x14ac:dyDescent="0.25">
      <c r="B107" s="42" t="s">
        <v>64</v>
      </c>
      <c r="C107" s="76"/>
      <c r="D107" s="76"/>
      <c r="E107" s="76"/>
      <c r="F107" s="76"/>
    </row>
    <row r="108" spans="2:6" x14ac:dyDescent="0.25">
      <c r="B108" s="3" t="s">
        <v>65</v>
      </c>
      <c r="C108" s="76">
        <f>C89-C99</f>
        <v>257873.97917323001</v>
      </c>
      <c r="D108" s="76">
        <f>D89-D99</f>
        <v>560581.21440713375</v>
      </c>
      <c r="E108" s="76">
        <f>E89-E99</f>
        <v>568365.83768150513</v>
      </c>
      <c r="F108" s="76">
        <f>F89-F99</f>
        <v>169179.28332410613</v>
      </c>
    </row>
    <row r="109" spans="2:6" x14ac:dyDescent="0.25">
      <c r="B109" s="3" t="s">
        <v>66</v>
      </c>
      <c r="C109" s="76">
        <f>C90-C100</f>
        <v>311786.68927461538</v>
      </c>
      <c r="D109" s="76">
        <f>D90-D100</f>
        <v>387426.26475489279</v>
      </c>
      <c r="E109" s="76">
        <f t="shared" ref="E109:F109" si="24">E90-E100</f>
        <v>426353.66874263762</v>
      </c>
      <c r="F109" s="76">
        <f t="shared" si="24"/>
        <v>430433.69181382889</v>
      </c>
    </row>
    <row r="110" spans="2:6" x14ac:dyDescent="0.25">
      <c r="B110" s="3" t="s">
        <v>67</v>
      </c>
      <c r="C110" s="76">
        <f>C108-C109</f>
        <v>-53912.710101385368</v>
      </c>
      <c r="D110" s="76">
        <f t="shared" ref="D110:F110" si="25">D108-D109</f>
        <v>173154.94965224096</v>
      </c>
      <c r="E110" s="76">
        <f t="shared" si="25"/>
        <v>142012.16893886751</v>
      </c>
      <c r="F110" s="76">
        <f t="shared" si="25"/>
        <v>-261254.40848972276</v>
      </c>
    </row>
    <row r="111" spans="2:6" x14ac:dyDescent="0.25">
      <c r="B111" s="3" t="s">
        <v>68</v>
      </c>
      <c r="C111" s="76">
        <f>C108/C$65</f>
        <v>1.7008831039709592E-2</v>
      </c>
      <c r="D111" s="76">
        <f>D108/D$65</f>
        <v>2.212790062895946E-2</v>
      </c>
      <c r="E111" s="76">
        <f>E108/E$65</f>
        <v>3.1744945264524996E-2</v>
      </c>
      <c r="F111" s="76">
        <f>F108/F$65</f>
        <v>1.5558752994066265E-2</v>
      </c>
    </row>
    <row r="112" spans="2:6" x14ac:dyDescent="0.25">
      <c r="B112" s="3" t="s">
        <v>69</v>
      </c>
      <c r="C112" s="76">
        <f>C109/C$65</f>
        <v>2.0564801207569407E-2</v>
      </c>
      <c r="D112" s="76">
        <f>D109/D$65</f>
        <v>1.5292931099398093E-2</v>
      </c>
      <c r="E112" s="76">
        <f>E109/E$65</f>
        <v>2.3813137560791991E-2</v>
      </c>
      <c r="F112" s="76">
        <f>F109/F$65</f>
        <v>3.9585292948815548E-2</v>
      </c>
    </row>
    <row r="113" spans="2:6" x14ac:dyDescent="0.25">
      <c r="B113" s="3" t="s">
        <v>70</v>
      </c>
      <c r="C113" s="76">
        <f>C110/C$65</f>
        <v>-3.5559701678598119E-3</v>
      </c>
      <c r="D113" s="76">
        <f>D110/D$65</f>
        <v>6.8349695295613659E-3</v>
      </c>
      <c r="E113" s="76">
        <f>E110/E$65</f>
        <v>7.9318077037330067E-3</v>
      </c>
      <c r="F113" s="76">
        <f>F110/F$65</f>
        <v>-2.4026539954749283E-2</v>
      </c>
    </row>
    <row r="114" spans="2:6" x14ac:dyDescent="0.25">
      <c r="B114" s="3" t="s">
        <v>71</v>
      </c>
      <c r="C114" s="76">
        <f>(C108+C109)/(2*C$65)</f>
        <v>1.8786816123639499E-2</v>
      </c>
      <c r="D114" s="76">
        <f>(D108+D109)/(2*D$65)</f>
        <v>1.8710415864178775E-2</v>
      </c>
      <c r="E114" s="76">
        <f>(E108+E109)/(2*E$65)</f>
        <v>2.7779041412658492E-2</v>
      </c>
      <c r="F114" s="76">
        <f>(F108+F109)/(2*F$65)</f>
        <v>2.7572022971440908E-2</v>
      </c>
    </row>
  </sheetData>
  <mergeCells count="15">
    <mergeCell ref="A53:A56"/>
    <mergeCell ref="C33:F33"/>
    <mergeCell ref="G33:J33"/>
    <mergeCell ref="K33:N33"/>
    <mergeCell ref="A35:A38"/>
    <mergeCell ref="C50:N50"/>
    <mergeCell ref="C51:F51"/>
    <mergeCell ref="G51:J51"/>
    <mergeCell ref="K51:N51"/>
    <mergeCell ref="C4:N4"/>
    <mergeCell ref="C5:F5"/>
    <mergeCell ref="G5:J5"/>
    <mergeCell ref="K5:N5"/>
    <mergeCell ref="A7:A10"/>
    <mergeCell ref="C32:N3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Z72"/>
  <sheetViews>
    <sheetView topLeftCell="A10" zoomScaleNormal="100" workbookViewId="0">
      <pane xSplit="2" topLeftCell="C1" activePane="topRight" state="frozen"/>
      <selection pane="topRight" activeCell="C67" sqref="C67"/>
    </sheetView>
  </sheetViews>
  <sheetFormatPr defaultRowHeight="15" x14ac:dyDescent="0.25"/>
  <cols>
    <col min="1" max="1" width="19" bestFit="1" customWidth="1"/>
    <col min="2" max="2" width="70.28515625" bestFit="1" customWidth="1"/>
    <col min="3" max="14" width="18.85546875" customWidth="1"/>
    <col min="15" max="15" width="15.28515625" bestFit="1" customWidth="1"/>
    <col min="16" max="16" width="15.7109375" bestFit="1" customWidth="1"/>
    <col min="17" max="17" width="15.28515625" bestFit="1" customWidth="1"/>
    <col min="18" max="26" width="13.85546875" customWidth="1"/>
    <col min="27" max="29" width="15.28515625" bestFit="1" customWidth="1"/>
    <col min="30" max="30" width="11.5703125" bestFit="1" customWidth="1"/>
    <col min="31" max="31" width="12.7109375" bestFit="1" customWidth="1"/>
    <col min="32" max="32" width="12" bestFit="1" customWidth="1"/>
  </cols>
  <sheetData>
    <row r="1" spans="1:18" ht="18.75" x14ac:dyDescent="0.3">
      <c r="A1" s="6" t="s">
        <v>181</v>
      </c>
    </row>
    <row r="3" spans="1:18" x14ac:dyDescent="0.25">
      <c r="A3" s="59" t="s">
        <v>112</v>
      </c>
      <c r="B3" s="54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54"/>
      <c r="R3" s="55"/>
    </row>
    <row r="4" spans="1:18" x14ac:dyDescent="0.25">
      <c r="A4" s="14"/>
      <c r="B4" s="2"/>
      <c r="C4" s="145" t="s">
        <v>11</v>
      </c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62"/>
      <c r="P4" s="71" t="s">
        <v>29</v>
      </c>
      <c r="Q4" s="7" t="s">
        <v>39</v>
      </c>
      <c r="R4" s="13"/>
    </row>
    <row r="5" spans="1:18" x14ac:dyDescent="0.25">
      <c r="A5" s="14"/>
      <c r="B5" s="2"/>
      <c r="C5" s="146" t="s">
        <v>1</v>
      </c>
      <c r="D5" s="145"/>
      <c r="E5" s="145"/>
      <c r="F5" s="147"/>
      <c r="G5" s="145" t="s">
        <v>5</v>
      </c>
      <c r="H5" s="145"/>
      <c r="I5" s="145"/>
      <c r="J5" s="147"/>
      <c r="K5" s="148" t="s">
        <v>3</v>
      </c>
      <c r="L5" s="145"/>
      <c r="M5" s="145"/>
      <c r="N5" s="149"/>
      <c r="O5" s="62"/>
      <c r="P5" s="62"/>
      <c r="Q5" s="2"/>
      <c r="R5" s="13"/>
    </row>
    <row r="6" spans="1:18" x14ac:dyDescent="0.25">
      <c r="A6" s="14"/>
      <c r="B6" s="2"/>
      <c r="C6" s="128" t="s">
        <v>7</v>
      </c>
      <c r="D6" s="71" t="s">
        <v>8</v>
      </c>
      <c r="E6" s="71" t="s">
        <v>9</v>
      </c>
      <c r="F6" s="129" t="s">
        <v>0</v>
      </c>
      <c r="G6" s="71" t="s">
        <v>7</v>
      </c>
      <c r="H6" s="71" t="s">
        <v>8</v>
      </c>
      <c r="I6" s="71" t="s">
        <v>9</v>
      </c>
      <c r="J6" s="129" t="s">
        <v>0</v>
      </c>
      <c r="K6" s="71" t="s">
        <v>7</v>
      </c>
      <c r="L6" s="71" t="s">
        <v>8</v>
      </c>
      <c r="M6" s="71" t="s">
        <v>9</v>
      </c>
      <c r="N6" s="130" t="s">
        <v>0</v>
      </c>
      <c r="O6" s="62"/>
      <c r="P6" s="62"/>
      <c r="Q6" s="2"/>
      <c r="R6" s="13"/>
    </row>
    <row r="7" spans="1:18" x14ac:dyDescent="0.25">
      <c r="A7" s="150" t="s">
        <v>10</v>
      </c>
      <c r="B7" s="7" t="s">
        <v>7</v>
      </c>
      <c r="C7" s="131">
        <f>'BenchBalanced-1995'!C35</f>
        <v>5584844.0888938438</v>
      </c>
      <c r="D7" s="70">
        <f>'BenchBalanced-1995'!D35</f>
        <v>255279.65553429612</v>
      </c>
      <c r="E7" s="70">
        <f>'BenchBalanced-1995'!E35</f>
        <v>101767.42729966232</v>
      </c>
      <c r="F7" s="133">
        <f>'BenchBalanced-1995'!F35</f>
        <v>181141.27996116076</v>
      </c>
      <c r="G7" s="70">
        <f>'BenchBalanced-1995'!G35</f>
        <v>5867262.4424776854</v>
      </c>
      <c r="H7" s="70">
        <f>'BenchBalanced-1995'!H35</f>
        <v>93673.103677839434</v>
      </c>
      <c r="I7" s="70">
        <f>'BenchBalanced-1995'!I35</f>
        <v>26263.156265772657</v>
      </c>
      <c r="J7" s="133">
        <f>'BenchBalanced-1995'!J35</f>
        <v>30185.464546718667</v>
      </c>
      <c r="K7" s="70">
        <f>'BenchBalanced-1995'!K35</f>
        <v>1228430.404399208</v>
      </c>
      <c r="L7" s="70">
        <f>'BenchBalanced-1995'!L35</f>
        <v>57433.616809549116</v>
      </c>
      <c r="M7" s="70">
        <f>'BenchBalanced-1995'!M35</f>
        <v>25175.577535009244</v>
      </c>
      <c r="N7" s="132">
        <f>'BenchBalanced-1995'!N35</f>
        <v>23756.720662737436</v>
      </c>
      <c r="O7" s="62"/>
      <c r="P7" s="62">
        <f>SUM(C7:N7)</f>
        <v>13475212.938063484</v>
      </c>
      <c r="Q7" s="56">
        <f>C17</f>
        <v>11543223.959257616</v>
      </c>
      <c r="R7" s="115">
        <f>Q7-P7</f>
        <v>-1931988.978805868</v>
      </c>
    </row>
    <row r="8" spans="1:18" x14ac:dyDescent="0.25">
      <c r="A8" s="150"/>
      <c r="B8" s="7" t="s">
        <v>8</v>
      </c>
      <c r="C8" s="61">
        <f>'BenchBalanced-1995'!C36</f>
        <v>233119.08221062407</v>
      </c>
      <c r="D8" s="62">
        <f>'BenchBalanced-1995'!D36</f>
        <v>12167615.843802262</v>
      </c>
      <c r="E8" s="62">
        <f>'BenchBalanced-1995'!E36</f>
        <v>231083.60538756629</v>
      </c>
      <c r="F8" s="63">
        <f>'BenchBalanced-1995'!F36</f>
        <v>325223.43441011378</v>
      </c>
      <c r="G8" s="62">
        <f>'BenchBalanced-1995'!G36</f>
        <v>84646.372236560041</v>
      </c>
      <c r="H8" s="62">
        <f>'BenchBalanced-1995'!H36</f>
        <v>11025058.379034571</v>
      </c>
      <c r="I8" s="62">
        <f>'BenchBalanced-1995'!I36</f>
        <v>70538.684120418227</v>
      </c>
      <c r="J8" s="63">
        <f>'BenchBalanced-1995'!J36</f>
        <v>75290.209212554604</v>
      </c>
      <c r="K8" s="62">
        <f>'BenchBalanced-1995'!K36</f>
        <v>98317.777547751772</v>
      </c>
      <c r="L8" s="62">
        <f>'BenchBalanced-1995'!L36</f>
        <v>3279969.7532823854</v>
      </c>
      <c r="M8" s="62">
        <f>'BenchBalanced-1995'!M36</f>
        <v>77366.78059086416</v>
      </c>
      <c r="N8" s="64">
        <f>'BenchBalanced-1995'!N36</f>
        <v>102525.11030918248</v>
      </c>
      <c r="O8" s="62"/>
      <c r="P8" s="62">
        <f t="shared" ref="P8:P11" si="0">SUM(C8:N8)</f>
        <v>27770755.032144852</v>
      </c>
      <c r="Q8" s="56">
        <f>D17</f>
        <v>20058947.265600275</v>
      </c>
      <c r="R8" s="115">
        <f t="shared" ref="R8:R14" si="1">Q8-P8</f>
        <v>-7711807.7665445767</v>
      </c>
    </row>
    <row r="9" spans="1:18" x14ac:dyDescent="0.25">
      <c r="A9" s="150"/>
      <c r="B9" s="7" t="s">
        <v>9</v>
      </c>
      <c r="C9" s="61">
        <f>'BenchBalanced-1995'!C37</f>
        <v>88197.078054740763</v>
      </c>
      <c r="D9" s="62">
        <f>'BenchBalanced-1995'!D37</f>
        <v>242652.30041768891</v>
      </c>
      <c r="E9" s="62">
        <f>'BenchBalanced-1995'!E37</f>
        <v>3618926.8692085594</v>
      </c>
      <c r="F9" s="63">
        <f>'BenchBalanced-1995'!F37</f>
        <v>91126.803253930571</v>
      </c>
      <c r="G9" s="62">
        <f>'BenchBalanced-1995'!G37</f>
        <v>63645.30258842359</v>
      </c>
      <c r="H9" s="62">
        <f>'BenchBalanced-1995'!H37</f>
        <v>127033.00564506746</v>
      </c>
      <c r="I9" s="62">
        <f>'BenchBalanced-1995'!I37</f>
        <v>2621535.8816721882</v>
      </c>
      <c r="J9" s="63">
        <f>'BenchBalanced-1995'!J37</f>
        <v>19498.494512924408</v>
      </c>
      <c r="K9" s="62">
        <f>'BenchBalanced-1995'!K37</f>
        <v>28514.123072725586</v>
      </c>
      <c r="L9" s="62">
        <f>'BenchBalanced-1995'!L37</f>
        <v>29816.162874936439</v>
      </c>
      <c r="M9" s="62">
        <f>'BenchBalanced-1995'!M37</f>
        <v>980619.21509131265</v>
      </c>
      <c r="N9" s="64">
        <f>'BenchBalanced-1995'!N37</f>
        <v>21478.597454459115</v>
      </c>
      <c r="O9" s="62"/>
      <c r="P9" s="62">
        <f t="shared" si="0"/>
        <v>7933043.8338469565</v>
      </c>
      <c r="Q9" s="56">
        <f>E17</f>
        <v>15547362.027387854</v>
      </c>
      <c r="R9" s="115">
        <f t="shared" si="1"/>
        <v>7614318.1935408972</v>
      </c>
    </row>
    <row r="10" spans="1:18" x14ac:dyDescent="0.25">
      <c r="A10" s="150"/>
      <c r="B10" s="7" t="s">
        <v>0</v>
      </c>
      <c r="C10" s="61">
        <f>'BenchBalanced-1995'!C38</f>
        <v>119224.09972909895</v>
      </c>
      <c r="D10" s="62">
        <f>'BenchBalanced-1995'!D38</f>
        <v>341936.32484405226</v>
      </c>
      <c r="E10" s="62">
        <f>'BenchBalanced-1995'!E38</f>
        <v>135868.45621229213</v>
      </c>
      <c r="F10" s="63">
        <f>'BenchBalanced-1995'!F38</f>
        <v>2305743.3074151571</v>
      </c>
      <c r="G10" s="62">
        <f>'BenchBalanced-1995'!G38</f>
        <v>53722.288216557616</v>
      </c>
      <c r="H10" s="62">
        <f>'BenchBalanced-1995'!H38</f>
        <v>117496.66323124441</v>
      </c>
      <c r="I10" s="62">
        <f>'BenchBalanced-1995'!I38</f>
        <v>33124.6619536082</v>
      </c>
      <c r="J10" s="63">
        <f>'BenchBalanced-1995'!J38</f>
        <v>2153103.2051918283</v>
      </c>
      <c r="K10" s="62">
        <f>'BenchBalanced-1995'!K38</f>
        <v>25289.878649303475</v>
      </c>
      <c r="L10" s="62">
        <f>'BenchBalanced-1995'!L38</f>
        <v>32790.222979128266</v>
      </c>
      <c r="M10" s="62">
        <f>'BenchBalanced-1995'!M38</f>
        <v>10773.518508816824</v>
      </c>
      <c r="N10" s="64">
        <f>'BenchBalanced-1995'!N38</f>
        <v>674224.10894861992</v>
      </c>
      <c r="O10" s="62"/>
      <c r="P10" s="62">
        <f t="shared" si="0"/>
        <v>6003296.7358797081</v>
      </c>
      <c r="Q10" s="56">
        <f>F17</f>
        <v>8863322.4394325186</v>
      </c>
      <c r="R10" s="115">
        <f t="shared" si="1"/>
        <v>2860025.7035528105</v>
      </c>
    </row>
    <row r="11" spans="1:18" s="3" customFormat="1" x14ac:dyDescent="0.25">
      <c r="A11" s="57"/>
      <c r="B11" s="7" t="s">
        <v>90</v>
      </c>
      <c r="C11" s="61">
        <f>'BenchBalanced-1995'!C39</f>
        <v>7449828.5891831769</v>
      </c>
      <c r="D11" s="62">
        <f>'BenchBalanced-1995'!D39</f>
        <v>0</v>
      </c>
      <c r="E11" s="62">
        <f>'BenchBalanced-1995'!E39</f>
        <v>0</v>
      </c>
      <c r="F11" s="63">
        <f>'BenchBalanced-1995'!F39</f>
        <v>0</v>
      </c>
      <c r="G11" s="62">
        <f>'BenchBalanced-1995'!G39</f>
        <v>0</v>
      </c>
      <c r="H11" s="62">
        <f>'BenchBalanced-1995'!H39</f>
        <v>0</v>
      </c>
      <c r="I11" s="62">
        <f>'BenchBalanced-1995'!I39</f>
        <v>0</v>
      </c>
      <c r="J11" s="63">
        <f>'BenchBalanced-1995'!J39</f>
        <v>0</v>
      </c>
      <c r="K11" s="62">
        <f>'BenchBalanced-1995'!K39</f>
        <v>0</v>
      </c>
      <c r="L11" s="62">
        <f>'BenchBalanced-1995'!L39</f>
        <v>0</v>
      </c>
      <c r="M11" s="62">
        <f>'BenchBalanced-1995'!M39</f>
        <v>0</v>
      </c>
      <c r="N11" s="64">
        <f>'BenchBalanced-1995'!N39</f>
        <v>0</v>
      </c>
      <c r="O11" s="62"/>
      <c r="P11" s="62">
        <f t="shared" si="0"/>
        <v>7449828.5891831769</v>
      </c>
      <c r="Q11" s="56">
        <f>C27</f>
        <v>6381720.2932697292</v>
      </c>
      <c r="R11" s="115">
        <f t="shared" si="1"/>
        <v>-1068108.2959134476</v>
      </c>
    </row>
    <row r="12" spans="1:18" s="3" customFormat="1" x14ac:dyDescent="0.25">
      <c r="A12" s="57"/>
      <c r="B12" s="7" t="s">
        <v>91</v>
      </c>
      <c r="C12" s="61">
        <f>'BenchBalanced-1995'!C40</f>
        <v>0</v>
      </c>
      <c r="D12" s="62">
        <f>'BenchBalanced-1995'!D40</f>
        <v>14763270.907539135</v>
      </c>
      <c r="E12" s="62">
        <f>'BenchBalanced-1995'!E40</f>
        <v>0</v>
      </c>
      <c r="F12" s="63">
        <f>'BenchBalanced-1995'!F40</f>
        <v>0</v>
      </c>
      <c r="G12" s="62">
        <f>'BenchBalanced-1995'!G40</f>
        <v>0</v>
      </c>
      <c r="H12" s="62">
        <f>'BenchBalanced-1995'!H40</f>
        <v>0</v>
      </c>
      <c r="I12" s="62">
        <f>'BenchBalanced-1995'!I40</f>
        <v>0</v>
      </c>
      <c r="J12" s="63">
        <f>'BenchBalanced-1995'!J40</f>
        <v>0</v>
      </c>
      <c r="K12" s="62">
        <f>'BenchBalanced-1995'!K40</f>
        <v>0</v>
      </c>
      <c r="L12" s="62">
        <f>'BenchBalanced-1995'!L40</f>
        <v>0</v>
      </c>
      <c r="M12" s="62">
        <f>'BenchBalanced-1995'!M40</f>
        <v>0</v>
      </c>
      <c r="N12" s="64">
        <f>'BenchBalanced-1995'!N40</f>
        <v>0</v>
      </c>
      <c r="O12" s="62"/>
      <c r="P12" s="62">
        <f>SUM(C12:O12)</f>
        <v>14763270.907539135</v>
      </c>
      <c r="Q12" s="56">
        <f>D27</f>
        <v>10663580.167676324</v>
      </c>
      <c r="R12" s="115">
        <f t="shared" si="1"/>
        <v>-4099690.7398628108</v>
      </c>
    </row>
    <row r="13" spans="1:18" s="3" customFormat="1" x14ac:dyDescent="0.25">
      <c r="A13" s="57"/>
      <c r="B13" s="7" t="s">
        <v>92</v>
      </c>
      <c r="C13" s="61">
        <f>'BenchBalanced-1995'!C41</f>
        <v>0</v>
      </c>
      <c r="D13" s="62">
        <f>'BenchBalanced-1995'!D41</f>
        <v>0</v>
      </c>
      <c r="E13" s="62">
        <f>'BenchBalanced-1995'!E41</f>
        <v>3845397.4757382986</v>
      </c>
      <c r="F13" s="63">
        <f>'BenchBalanced-1995'!F41</f>
        <v>0</v>
      </c>
      <c r="G13" s="62">
        <f>'BenchBalanced-1995'!G41</f>
        <v>0</v>
      </c>
      <c r="H13" s="62">
        <f>'BenchBalanced-1995'!H41</f>
        <v>0</v>
      </c>
      <c r="I13" s="62">
        <f>'BenchBalanced-1995'!I41</f>
        <v>0</v>
      </c>
      <c r="J13" s="63">
        <f>'BenchBalanced-1995'!J41</f>
        <v>0</v>
      </c>
      <c r="K13" s="62">
        <f>'BenchBalanced-1995'!K41</f>
        <v>0</v>
      </c>
      <c r="L13" s="62">
        <f>'BenchBalanced-1995'!L41</f>
        <v>0</v>
      </c>
      <c r="M13" s="62">
        <f>'BenchBalanced-1995'!M41</f>
        <v>0</v>
      </c>
      <c r="N13" s="64">
        <f>'BenchBalanced-1995'!N41</f>
        <v>0</v>
      </c>
      <c r="O13" s="62"/>
      <c r="P13" s="62">
        <f t="shared" ref="P13:P14" si="2">SUM(C13:O13)</f>
        <v>3845397.4757382986</v>
      </c>
      <c r="Q13" s="56">
        <f>E27</f>
        <v>7536298.5440002624</v>
      </c>
      <c r="R13" s="115">
        <f t="shared" si="1"/>
        <v>3690901.0682619638</v>
      </c>
    </row>
    <row r="14" spans="1:18" s="3" customFormat="1" x14ac:dyDescent="0.25">
      <c r="A14" s="57"/>
      <c r="B14" s="7" t="s">
        <v>93</v>
      </c>
      <c r="C14" s="65">
        <f>'BenchBalanced-1995'!C42</f>
        <v>0</v>
      </c>
      <c r="D14" s="66">
        <f>'BenchBalanced-1995'!D42</f>
        <v>0</v>
      </c>
      <c r="E14" s="66">
        <f>'BenchBalanced-1995'!E42</f>
        <v>0</v>
      </c>
      <c r="F14" s="67">
        <f>'BenchBalanced-1995'!F42</f>
        <v>3100061.9108391204</v>
      </c>
      <c r="G14" s="66">
        <f>'BenchBalanced-1995'!G42</f>
        <v>0</v>
      </c>
      <c r="H14" s="66">
        <f>'BenchBalanced-1995'!H42</f>
        <v>0</v>
      </c>
      <c r="I14" s="66">
        <f>'BenchBalanced-1995'!I42</f>
        <v>0</v>
      </c>
      <c r="J14" s="67">
        <f>'BenchBalanced-1995'!J42</f>
        <v>0</v>
      </c>
      <c r="K14" s="66">
        <f>'BenchBalanced-1995'!K42</f>
        <v>0</v>
      </c>
      <c r="L14" s="66">
        <f>'BenchBalanced-1995'!L42</f>
        <v>0</v>
      </c>
      <c r="M14" s="66">
        <f>'BenchBalanced-1995'!M42</f>
        <v>0</v>
      </c>
      <c r="N14" s="68">
        <f>'BenchBalanced-1995'!N42</f>
        <v>0</v>
      </c>
      <c r="O14" s="62"/>
      <c r="P14" s="62">
        <f t="shared" si="2"/>
        <v>3100061.9108391204</v>
      </c>
      <c r="Q14" s="56">
        <f>F27</f>
        <v>4576959.8783534179</v>
      </c>
      <c r="R14" s="115">
        <f t="shared" si="1"/>
        <v>1476897.9675142975</v>
      </c>
    </row>
    <row r="15" spans="1:18" s="3" customFormat="1" x14ac:dyDescent="0.25">
      <c r="A15" s="14"/>
      <c r="B15" s="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71">
        <f>SUM(P7:P14)</f>
        <v>84340867.423234731</v>
      </c>
      <c r="Q15" s="71">
        <f>SUM(Q7:Q14)</f>
        <v>85171414.574977994</v>
      </c>
      <c r="R15" s="13"/>
    </row>
    <row r="16" spans="1:18" s="3" customFormat="1" x14ac:dyDescent="0.25">
      <c r="A16" s="14"/>
      <c r="B16" s="9" t="s">
        <v>77</v>
      </c>
      <c r="C16" s="62">
        <f>SUM(C7:C14)</f>
        <v>13475212.938071486</v>
      </c>
      <c r="D16" s="62">
        <f>SUM(D7:D14)</f>
        <v>27770755.032137435</v>
      </c>
      <c r="E16" s="62">
        <f>SUM(E7:E13)</f>
        <v>7933043.8338463791</v>
      </c>
      <c r="F16" s="62">
        <f>SUM(F7:F14)</f>
        <v>6003296.7358794827</v>
      </c>
      <c r="G16" s="62">
        <f>SUM(G7:G14)</f>
        <v>6069276.4055192266</v>
      </c>
      <c r="H16" s="62">
        <f t="shared" ref="H16:N16" si="3">SUM(H7:H12)</f>
        <v>11363261.151588723</v>
      </c>
      <c r="I16" s="62">
        <f t="shared" si="3"/>
        <v>2751462.3840119871</v>
      </c>
      <c r="J16" s="62">
        <f t="shared" si="3"/>
        <v>2278077.373464026</v>
      </c>
      <c r="K16" s="62">
        <f t="shared" si="3"/>
        <v>1380552.1836689888</v>
      </c>
      <c r="L16" s="62">
        <f t="shared" si="3"/>
        <v>3400009.7559459996</v>
      </c>
      <c r="M16" s="62">
        <f t="shared" si="3"/>
        <v>1093935.091726003</v>
      </c>
      <c r="N16" s="62">
        <f t="shared" si="3"/>
        <v>821984.53737499891</v>
      </c>
      <c r="O16" s="71">
        <f>SUM(C16:N16)</f>
        <v>84340867.423234746</v>
      </c>
      <c r="P16" s="62">
        <f>P15-O16</f>
        <v>0</v>
      </c>
      <c r="Q16" s="2"/>
      <c r="R16" s="13"/>
    </row>
    <row r="17" spans="1:26" s="3" customFormat="1" x14ac:dyDescent="0.25">
      <c r="A17" s="14"/>
      <c r="B17" s="7" t="s">
        <v>78</v>
      </c>
      <c r="C17" s="116">
        <f>C31</f>
        <v>11543223.959257616</v>
      </c>
      <c r="D17" s="116">
        <f t="shared" ref="D17:F17" si="4">D31</f>
        <v>20058947.265600275</v>
      </c>
      <c r="E17" s="116">
        <f t="shared" si="4"/>
        <v>15547362.027387854</v>
      </c>
      <c r="F17" s="116">
        <f t="shared" si="4"/>
        <v>8863322.4394325186</v>
      </c>
      <c r="G17" s="116">
        <f>C36</f>
        <v>5199102.7630894734</v>
      </c>
      <c r="H17" s="116">
        <f t="shared" ref="H17:J17" si="5">D36</f>
        <v>8207737.093974825</v>
      </c>
      <c r="I17" s="116">
        <f t="shared" si="5"/>
        <v>5392379.3546257121</v>
      </c>
      <c r="J17" s="116">
        <f t="shared" si="5"/>
        <v>3363374.3576776846</v>
      </c>
      <c r="K17" s="116">
        <f>C37</f>
        <v>1182617.5301802559</v>
      </c>
      <c r="L17" s="116">
        <f t="shared" ref="L17:N17" si="6">D37</f>
        <v>2455843.0737014995</v>
      </c>
      <c r="M17" s="116">
        <f t="shared" si="6"/>
        <v>2143919.1893745498</v>
      </c>
      <c r="N17" s="116">
        <f t="shared" si="6"/>
        <v>1213585.5206757332</v>
      </c>
      <c r="O17" s="71">
        <f>SUM(C17:N17)</f>
        <v>85171414.574977994</v>
      </c>
      <c r="P17" s="2"/>
      <c r="Q17" s="120"/>
      <c r="R17" s="13"/>
    </row>
    <row r="18" spans="1:26" x14ac:dyDescent="0.25">
      <c r="A18" s="19"/>
      <c r="B18" s="20"/>
      <c r="C18" s="119">
        <f>C17-C16</f>
        <v>-1931988.9788138699</v>
      </c>
      <c r="D18" s="119">
        <f t="shared" ref="D18:N18" si="7">D17-D16</f>
        <v>-7711807.7665371597</v>
      </c>
      <c r="E18" s="119">
        <f t="shared" si="7"/>
        <v>7614318.1935414746</v>
      </c>
      <c r="F18" s="119">
        <f t="shared" si="7"/>
        <v>2860025.7035530359</v>
      </c>
      <c r="G18" s="119">
        <f t="shared" si="7"/>
        <v>-870173.64242975321</v>
      </c>
      <c r="H18" s="119">
        <f t="shared" si="7"/>
        <v>-3155524.0576138981</v>
      </c>
      <c r="I18" s="119">
        <f t="shared" si="7"/>
        <v>2640916.970613725</v>
      </c>
      <c r="J18" s="119">
        <f t="shared" si="7"/>
        <v>1085296.9842136586</v>
      </c>
      <c r="K18" s="119">
        <f t="shared" si="7"/>
        <v>-197934.65348873287</v>
      </c>
      <c r="L18" s="119">
        <f t="shared" si="7"/>
        <v>-944166.68224450015</v>
      </c>
      <c r="M18" s="119">
        <f t="shared" si="7"/>
        <v>1049984.0976485468</v>
      </c>
      <c r="N18" s="119">
        <f t="shared" si="7"/>
        <v>391600.98330073431</v>
      </c>
      <c r="O18" s="20"/>
      <c r="P18" s="20"/>
      <c r="Q18" s="20"/>
      <c r="R18" s="21"/>
    </row>
    <row r="19" spans="1:26" x14ac:dyDescent="0.25">
      <c r="A19" s="7"/>
      <c r="B19" s="5"/>
      <c r="C19" s="5"/>
      <c r="D19" s="5"/>
      <c r="E19" s="5"/>
      <c r="F19" s="5"/>
      <c r="H19" s="5"/>
      <c r="I19" s="5"/>
      <c r="J19" s="5"/>
      <c r="K19" s="5"/>
      <c r="L19" s="5"/>
      <c r="M19" s="5"/>
      <c r="N19" s="5"/>
      <c r="Q19" s="5"/>
      <c r="S19" s="5"/>
      <c r="T19" s="5"/>
      <c r="U19" s="5"/>
      <c r="V19" s="5"/>
      <c r="Y19" s="5"/>
    </row>
    <row r="20" spans="1:26" x14ac:dyDescent="0.25">
      <c r="A20" s="59" t="s">
        <v>83</v>
      </c>
      <c r="B20" s="95"/>
      <c r="C20" s="95"/>
      <c r="D20" s="95"/>
      <c r="E20" s="95"/>
      <c r="F20" s="95"/>
      <c r="G20" s="95"/>
      <c r="H20" s="95"/>
      <c r="I20" s="95"/>
      <c r="J20" s="95"/>
      <c r="K20" s="95"/>
      <c r="L20" s="96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x14ac:dyDescent="0.25">
      <c r="A21" s="57"/>
      <c r="B21" s="79"/>
      <c r="C21" s="79"/>
      <c r="D21" s="79"/>
      <c r="E21" s="79"/>
      <c r="F21" s="79"/>
      <c r="G21" s="79"/>
      <c r="H21" s="79"/>
      <c r="I21" s="79"/>
      <c r="J21" s="79"/>
      <c r="K21" s="79"/>
      <c r="L21" s="77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x14ac:dyDescent="0.25">
      <c r="A22" s="57"/>
      <c r="B22" s="79"/>
      <c r="C22" s="80" t="s">
        <v>7</v>
      </c>
      <c r="D22" s="80" t="s">
        <v>8</v>
      </c>
      <c r="E22" s="80" t="s">
        <v>9</v>
      </c>
      <c r="F22" s="80" t="s">
        <v>0</v>
      </c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x14ac:dyDescent="0.25">
      <c r="A23" s="57"/>
      <c r="B23" s="79"/>
      <c r="C23" s="79"/>
      <c r="D23" s="79"/>
      <c r="E23" s="79"/>
      <c r="F23" s="79"/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x14ac:dyDescent="0.25">
      <c r="A24" s="57"/>
      <c r="B24" s="97" t="s">
        <v>102</v>
      </c>
      <c r="C24" s="79"/>
      <c r="D24" s="79"/>
      <c r="E24" s="79"/>
      <c r="F24" s="79"/>
      <c r="G24" s="79"/>
      <c r="H24" s="79"/>
      <c r="I24" s="79"/>
      <c r="J24" s="79"/>
      <c r="K24" s="79"/>
      <c r="L24" s="77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x14ac:dyDescent="0.25">
      <c r="A25" s="57"/>
      <c r="B25" s="80" t="s">
        <v>88</v>
      </c>
      <c r="C25" s="79">
        <f>'BenchBalanced-1995'!C39</f>
        <v>7449828.5891831769</v>
      </c>
      <c r="D25" s="79">
        <f>'BenchBalanced-1995'!D40</f>
        <v>14763270.907539135</v>
      </c>
      <c r="E25" s="79">
        <f>'BenchBalanced-1995'!E41</f>
        <v>3845397.4757382986</v>
      </c>
      <c r="F25" s="79">
        <f>'BenchBalanced-1995'!F42</f>
        <v>3100061.9108391204</v>
      </c>
      <c r="G25" s="79"/>
      <c r="H25" s="79"/>
      <c r="I25" s="79"/>
      <c r="J25" s="79"/>
      <c r="K25" s="79"/>
      <c r="L25" s="77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x14ac:dyDescent="0.25">
      <c r="A26" s="57"/>
      <c r="B26" s="80" t="s">
        <v>72</v>
      </c>
      <c r="C26" s="79">
        <f>'BenchBalanced-2011'!C39</f>
        <v>15161181.774995921</v>
      </c>
      <c r="D26" s="79">
        <f>'BenchBalanced-2011'!D40</f>
        <v>25333682.747720044</v>
      </c>
      <c r="E26" s="79">
        <f>'BenchBalanced-2011'!E41</f>
        <v>17904136.641138092</v>
      </c>
      <c r="F26" s="79">
        <f>'BenchBalanced-2011'!F42</f>
        <v>10873576.011434017</v>
      </c>
      <c r="G26" s="79"/>
      <c r="H26" s="79"/>
      <c r="I26" s="79"/>
      <c r="J26" s="79"/>
      <c r="K26" s="79"/>
      <c r="L26" s="77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x14ac:dyDescent="0.25">
      <c r="A27" s="57"/>
      <c r="B27" s="7" t="s">
        <v>103</v>
      </c>
      <c r="C27" s="114">
        <f>C26/SUM($C$26:$F$26)*SUM($C$25:$F$25)</f>
        <v>6381720.2932697292</v>
      </c>
      <c r="D27" s="114">
        <f t="shared" ref="D27:F27" si="8">D26/SUM($C$26:$F$26)*SUM($C$25:$F$25)</f>
        <v>10663580.167676324</v>
      </c>
      <c r="E27" s="114">
        <f t="shared" si="8"/>
        <v>7536298.5440002624</v>
      </c>
      <c r="F27" s="114">
        <f t="shared" si="8"/>
        <v>4576959.8783534179</v>
      </c>
      <c r="G27" s="2"/>
      <c r="H27" s="2"/>
      <c r="I27" s="2"/>
      <c r="J27" s="2"/>
      <c r="K27" s="2"/>
      <c r="L27" s="13"/>
    </row>
    <row r="28" spans="1:26" x14ac:dyDescent="0.25">
      <c r="A28" s="57"/>
      <c r="B28" s="7"/>
      <c r="C28" s="114"/>
      <c r="D28" s="114"/>
      <c r="E28" s="114"/>
      <c r="F28" s="114"/>
      <c r="G28" s="2"/>
      <c r="H28" s="2"/>
      <c r="I28" s="2"/>
      <c r="J28" s="2"/>
      <c r="K28" s="2"/>
      <c r="L28" s="13"/>
    </row>
    <row r="29" spans="1:26" x14ac:dyDescent="0.25">
      <c r="A29" s="57"/>
      <c r="B29" s="123" t="s">
        <v>115</v>
      </c>
      <c r="C29" s="114"/>
      <c r="D29" s="114"/>
      <c r="E29" s="114"/>
      <c r="F29" s="114"/>
      <c r="G29" s="2"/>
      <c r="H29" s="2"/>
      <c r="I29" s="2"/>
      <c r="J29" s="2"/>
      <c r="K29" s="2"/>
      <c r="L29" s="13"/>
    </row>
    <row r="30" spans="1:26" x14ac:dyDescent="0.25">
      <c r="A30" s="57"/>
      <c r="B30" s="7" t="s">
        <v>89</v>
      </c>
      <c r="C30" s="114">
        <f>'BenchBalanced-1995'!C44</f>
        <v>13475212.938071486</v>
      </c>
      <c r="D30" s="114">
        <f>'BenchBalanced-1995'!D44</f>
        <v>27770755.032137435</v>
      </c>
      <c r="E30" s="114">
        <f>'BenchBalanced-1995'!E44</f>
        <v>7933043.8338463791</v>
      </c>
      <c r="F30" s="114">
        <f>'BenchBalanced-1995'!F44</f>
        <v>6003296.7358794827</v>
      </c>
      <c r="G30" s="2"/>
      <c r="H30" s="2"/>
      <c r="I30" s="2"/>
      <c r="J30" s="2"/>
      <c r="K30" s="2"/>
      <c r="L30" s="13"/>
    </row>
    <row r="31" spans="1:26" x14ac:dyDescent="0.25">
      <c r="A31" s="57"/>
      <c r="B31" s="7" t="s">
        <v>104</v>
      </c>
      <c r="C31" s="114">
        <f>(C30/C25)*C27</f>
        <v>11543223.959257616</v>
      </c>
      <c r="D31" s="114">
        <f>(D30/D25)*D27</f>
        <v>20058947.265600275</v>
      </c>
      <c r="E31" s="114">
        <f>(E30/E25)*E27</f>
        <v>15547362.027387854</v>
      </c>
      <c r="F31" s="114">
        <f>(F30/F25)*F27</f>
        <v>8863322.4394325186</v>
      </c>
      <c r="G31" s="2"/>
      <c r="H31" s="2"/>
      <c r="I31" s="2"/>
      <c r="J31" s="2"/>
      <c r="K31" s="2"/>
      <c r="L31" s="13"/>
    </row>
    <row r="32" spans="1:26" x14ac:dyDescent="0.25">
      <c r="A32" s="57"/>
      <c r="B32" s="7"/>
      <c r="C32" s="114"/>
      <c r="D32" s="114"/>
      <c r="E32" s="114"/>
      <c r="F32" s="114"/>
      <c r="G32" s="2"/>
      <c r="H32" s="2"/>
      <c r="I32" s="2"/>
      <c r="J32" s="2"/>
      <c r="K32" s="2"/>
      <c r="L32" s="13"/>
    </row>
    <row r="33" spans="1:26" x14ac:dyDescent="0.25">
      <c r="A33" s="57"/>
      <c r="B33" s="126" t="s">
        <v>116</v>
      </c>
      <c r="C33" s="114"/>
      <c r="D33" s="114"/>
      <c r="E33" s="114"/>
      <c r="F33" s="114"/>
      <c r="G33" s="2"/>
      <c r="H33" s="2"/>
      <c r="I33" s="2"/>
      <c r="J33" s="2"/>
      <c r="K33" s="2"/>
      <c r="L33" s="13"/>
    </row>
    <row r="34" spans="1:26" x14ac:dyDescent="0.25">
      <c r="A34" s="57"/>
      <c r="B34" s="7" t="s">
        <v>105</v>
      </c>
      <c r="C34" s="114">
        <f>'BenchBalanced-1995'!G44/'BenchBalanced-1995'!C39</f>
        <v>0.81468671834027817</v>
      </c>
      <c r="D34" s="114">
        <f>'BenchBalanced-1995'!H44/'BenchBalanced-1995'!D40</f>
        <v>0.76969807184029015</v>
      </c>
      <c r="E34" s="114">
        <f>'BenchBalanced-1995'!I44/'BenchBalanced-1995'!E41</f>
        <v>0.71552093154784191</v>
      </c>
      <c r="F34" s="114">
        <f>'BenchBalanced-1995'!J44/'BenchBalanced-1995'!F42</f>
        <v>0.73484899301491668</v>
      </c>
      <c r="G34" s="2"/>
      <c r="H34" s="2"/>
      <c r="I34" s="2"/>
      <c r="J34" s="2"/>
      <c r="K34" s="2"/>
      <c r="L34" s="13"/>
    </row>
    <row r="35" spans="1:26" x14ac:dyDescent="0.25">
      <c r="A35" s="57"/>
      <c r="B35" s="7" t="s">
        <v>106</v>
      </c>
      <c r="C35" s="114">
        <f>1-C34</f>
        <v>0.18531328165972183</v>
      </c>
      <c r="D35" s="114">
        <f t="shared" ref="D35:F35" si="9">1-D34</f>
        <v>0.23030192815970985</v>
      </c>
      <c r="E35" s="114">
        <f t="shared" si="9"/>
        <v>0.28447906845215809</v>
      </c>
      <c r="F35" s="114">
        <f t="shared" si="9"/>
        <v>0.26515100698508332</v>
      </c>
      <c r="G35" s="2"/>
      <c r="H35" s="2"/>
      <c r="I35" s="2"/>
      <c r="J35" s="2"/>
      <c r="K35" s="2"/>
      <c r="L35" s="13"/>
    </row>
    <row r="36" spans="1:26" x14ac:dyDescent="0.25">
      <c r="A36" s="57"/>
      <c r="B36" s="7" t="s">
        <v>109</v>
      </c>
      <c r="C36" s="114">
        <f>C34*C27</f>
        <v>5199102.7630894734</v>
      </c>
      <c r="D36" s="114">
        <f>D34*D27</f>
        <v>8207737.093974825</v>
      </c>
      <c r="E36" s="114">
        <f>E34*E27</f>
        <v>5392379.3546257121</v>
      </c>
      <c r="F36" s="114">
        <f>F34*F27</f>
        <v>3363374.3576776846</v>
      </c>
      <c r="G36" s="2"/>
      <c r="H36" s="2"/>
      <c r="I36" s="2"/>
      <c r="J36" s="2"/>
      <c r="K36" s="2"/>
      <c r="L36" s="13"/>
    </row>
    <row r="37" spans="1:26" x14ac:dyDescent="0.25">
      <c r="A37" s="57"/>
      <c r="B37" s="7" t="s">
        <v>110</v>
      </c>
      <c r="C37" s="114">
        <f>C35*C27</f>
        <v>1182617.5301802559</v>
      </c>
      <c r="D37" s="114">
        <f>D35*D27</f>
        <v>2455843.0737014995</v>
      </c>
      <c r="E37" s="114">
        <f>E35*E27</f>
        <v>2143919.1893745498</v>
      </c>
      <c r="F37" s="114">
        <f>F35*F27</f>
        <v>1213585.5206757332</v>
      </c>
      <c r="G37" s="2"/>
      <c r="H37" s="2"/>
      <c r="I37" s="2"/>
      <c r="J37" s="2"/>
      <c r="K37" s="2"/>
      <c r="L37" s="13"/>
    </row>
    <row r="38" spans="1:26" ht="14.25" customHeight="1" x14ac:dyDescent="0.25">
      <c r="A38" s="57"/>
      <c r="B38" s="7" t="s">
        <v>111</v>
      </c>
      <c r="C38" s="114"/>
      <c r="D38" s="114"/>
      <c r="E38" s="114"/>
      <c r="F38" s="114"/>
      <c r="G38" s="2"/>
      <c r="H38" s="2"/>
      <c r="I38" s="2"/>
      <c r="J38" s="2"/>
      <c r="K38" s="2"/>
      <c r="L38" s="13"/>
    </row>
    <row r="39" spans="1:26" x14ac:dyDescent="0.25">
      <c r="A39" s="57"/>
      <c r="B39" s="7"/>
      <c r="C39" s="114"/>
      <c r="D39" s="114"/>
      <c r="E39" s="114"/>
      <c r="F39" s="114"/>
      <c r="G39" s="2"/>
      <c r="H39" s="2"/>
      <c r="I39" s="2"/>
      <c r="J39" s="2"/>
      <c r="K39" s="2"/>
      <c r="L39" s="13"/>
    </row>
    <row r="40" spans="1:26" x14ac:dyDescent="0.25">
      <c r="A40" s="98"/>
      <c r="B40" s="79"/>
      <c r="C40" s="79"/>
      <c r="D40" s="79"/>
      <c r="E40" s="79"/>
      <c r="F40" s="79"/>
      <c r="G40" s="79"/>
      <c r="H40" s="79"/>
      <c r="I40" s="79"/>
      <c r="J40" s="79"/>
      <c r="K40" s="79"/>
      <c r="L40" s="77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5">
      <c r="A41" s="108"/>
      <c r="B41" s="125"/>
      <c r="C41" s="110"/>
      <c r="D41" s="110"/>
      <c r="E41" s="110"/>
      <c r="F41" s="110"/>
      <c r="G41" s="110"/>
      <c r="H41" s="110"/>
      <c r="I41" s="110"/>
      <c r="J41" s="110"/>
      <c r="K41" s="110"/>
      <c r="L41" s="1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</row>
    <row r="42" spans="1:26" x14ac:dyDescent="0.25">
      <c r="A42" s="9"/>
      <c r="B42" s="126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</row>
    <row r="43" spans="1:26" x14ac:dyDescent="0.25">
      <c r="A43" s="59" t="s">
        <v>114</v>
      </c>
      <c r="B43" s="54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54"/>
      <c r="R43" s="55"/>
    </row>
    <row r="44" spans="1:26" x14ac:dyDescent="0.25">
      <c r="A44" s="14"/>
      <c r="B44" s="2"/>
      <c r="C44" s="145" t="s">
        <v>11</v>
      </c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62"/>
      <c r="P44" s="71" t="s">
        <v>29</v>
      </c>
      <c r="Q44" s="7" t="s">
        <v>39</v>
      </c>
      <c r="R44" s="13"/>
    </row>
    <row r="45" spans="1:26" x14ac:dyDescent="0.25">
      <c r="A45" s="14"/>
      <c r="B45" s="2"/>
      <c r="C45" s="146" t="s">
        <v>1</v>
      </c>
      <c r="D45" s="145"/>
      <c r="E45" s="145"/>
      <c r="F45" s="147"/>
      <c r="G45" s="145" t="s">
        <v>5</v>
      </c>
      <c r="H45" s="145"/>
      <c r="I45" s="145"/>
      <c r="J45" s="147"/>
      <c r="K45" s="148" t="s">
        <v>3</v>
      </c>
      <c r="L45" s="145"/>
      <c r="M45" s="145"/>
      <c r="N45" s="149"/>
      <c r="O45" s="62"/>
      <c r="P45" s="62"/>
      <c r="Q45" s="2"/>
      <c r="R45" s="13"/>
    </row>
    <row r="46" spans="1:26" ht="15.75" thickBot="1" x14ac:dyDescent="0.3">
      <c r="A46" s="14"/>
      <c r="B46" s="2"/>
      <c r="C46" s="72" t="s">
        <v>7</v>
      </c>
      <c r="D46" s="73" t="s">
        <v>8</v>
      </c>
      <c r="E46" s="73" t="s">
        <v>9</v>
      </c>
      <c r="F46" s="74" t="s">
        <v>0</v>
      </c>
      <c r="G46" s="73" t="s">
        <v>7</v>
      </c>
      <c r="H46" s="73" t="s">
        <v>8</v>
      </c>
      <c r="I46" s="73" t="s">
        <v>9</v>
      </c>
      <c r="J46" s="74" t="s">
        <v>0</v>
      </c>
      <c r="K46" s="73" t="s">
        <v>7</v>
      </c>
      <c r="L46" s="73" t="s">
        <v>8</v>
      </c>
      <c r="M46" s="73" t="s">
        <v>9</v>
      </c>
      <c r="N46" s="75" t="s">
        <v>0</v>
      </c>
      <c r="O46" s="62"/>
      <c r="P46" s="62"/>
      <c r="Q46" s="2"/>
      <c r="R46" s="13"/>
    </row>
    <row r="47" spans="1:26" ht="15.75" thickTop="1" x14ac:dyDescent="0.25">
      <c r="A47" s="150" t="s">
        <v>10</v>
      </c>
      <c r="B47" s="7" t="s">
        <v>7</v>
      </c>
      <c r="C47" s="61">
        <v>4729918.1319758715</v>
      </c>
      <c r="D47" s="62">
        <v>196398.43124572397</v>
      </c>
      <c r="E47" s="62">
        <v>132653.87390410679</v>
      </c>
      <c r="F47" s="63">
        <v>210360.37754818847</v>
      </c>
      <c r="G47" s="62">
        <v>4988004.5364301633</v>
      </c>
      <c r="H47" s="62">
        <v>73037.631980075428</v>
      </c>
      <c r="I47" s="62">
        <v>33487.598044293001</v>
      </c>
      <c r="J47" s="63">
        <v>33881.798790083492</v>
      </c>
      <c r="K47" s="62">
        <v>1040280.4435646933</v>
      </c>
      <c r="L47" s="62">
        <v>44835.073535034193</v>
      </c>
      <c r="M47" s="62">
        <v>32876.481390007757</v>
      </c>
      <c r="N47" s="64">
        <v>27489.580857890753</v>
      </c>
      <c r="O47" s="62"/>
      <c r="P47" s="62">
        <f>SUM(C47:N47)</f>
        <v>11543223.959266132</v>
      </c>
      <c r="Q47" s="56">
        <f t="shared" ref="Q47:Q54" si="10">Q7</f>
        <v>11543223.959257616</v>
      </c>
      <c r="R47" s="115">
        <f>Q47-P47</f>
        <v>-8.5160136222839355E-6</v>
      </c>
    </row>
    <row r="48" spans="1:26" x14ac:dyDescent="0.25">
      <c r="A48" s="150"/>
      <c r="B48" s="7" t="s">
        <v>8</v>
      </c>
      <c r="C48" s="61">
        <v>180476.60954279522</v>
      </c>
      <c r="D48" s="62">
        <v>8557124.0484709982</v>
      </c>
      <c r="E48" s="62">
        <v>275347.28921450645</v>
      </c>
      <c r="F48" s="63">
        <v>345246.17037996365</v>
      </c>
      <c r="G48" s="62">
        <v>65780.959481814018</v>
      </c>
      <c r="H48" s="62">
        <v>7858021.2816059915</v>
      </c>
      <c r="I48" s="62">
        <v>82217.631749977634</v>
      </c>
      <c r="J48" s="63">
        <v>77251.625739912706</v>
      </c>
      <c r="K48" s="62">
        <v>76108.376660157781</v>
      </c>
      <c r="L48" s="62">
        <v>2340572.4439230561</v>
      </c>
      <c r="M48" s="62">
        <v>92355.11272903574</v>
      </c>
      <c r="N48" s="64">
        <v>108445.7161006548</v>
      </c>
      <c r="O48" s="62"/>
      <c r="P48" s="62">
        <f t="shared" ref="P48:P51" si="11">SUM(C48:N48)</f>
        <v>20058947.265598863</v>
      </c>
      <c r="Q48" s="56">
        <f t="shared" si="10"/>
        <v>20058947.265600275</v>
      </c>
      <c r="R48" s="115">
        <f t="shared" ref="R48:R54" si="12">Q48-P48</f>
        <v>1.4118850231170654E-6</v>
      </c>
    </row>
    <row r="49" spans="1:18" x14ac:dyDescent="0.25">
      <c r="A49" s="150"/>
      <c r="B49" s="7" t="s">
        <v>9</v>
      </c>
      <c r="C49" s="61">
        <v>116656.90724639114</v>
      </c>
      <c r="D49" s="62">
        <v>291554.61018895649</v>
      </c>
      <c r="E49" s="62">
        <v>7367236.9728780091</v>
      </c>
      <c r="F49" s="63">
        <v>165274.68406522545</v>
      </c>
      <c r="G49" s="62">
        <v>84502.852931093323</v>
      </c>
      <c r="H49" s="62">
        <v>154689.92849625705</v>
      </c>
      <c r="I49" s="62">
        <v>5220433.6167230923</v>
      </c>
      <c r="J49" s="63">
        <v>34180.889989271811</v>
      </c>
      <c r="K49" s="62">
        <v>37711.480958998771</v>
      </c>
      <c r="L49" s="62">
        <v>36351.066999962852</v>
      </c>
      <c r="M49" s="62">
        <v>1999953.8698017795</v>
      </c>
      <c r="N49" s="64">
        <v>38815.147100965383</v>
      </c>
      <c r="O49" s="62"/>
      <c r="P49" s="62">
        <f t="shared" si="11"/>
        <v>15547362.027380003</v>
      </c>
      <c r="Q49" s="56">
        <f t="shared" si="10"/>
        <v>15547362.027387854</v>
      </c>
      <c r="R49" s="115">
        <f t="shared" si="12"/>
        <v>7.8510493040084839E-6</v>
      </c>
    </row>
    <row r="50" spans="1:18" x14ac:dyDescent="0.25">
      <c r="A50" s="150"/>
      <c r="B50" s="7" t="s">
        <v>0</v>
      </c>
      <c r="C50" s="61">
        <v>134452.01721737953</v>
      </c>
      <c r="D50" s="62">
        <v>350290.00801911682</v>
      </c>
      <c r="E50" s="62">
        <v>235825.34739523032</v>
      </c>
      <c r="F50" s="63">
        <v>3565481.3290855391</v>
      </c>
      <c r="G50" s="62">
        <v>60814.414246403656</v>
      </c>
      <c r="H50" s="62">
        <v>121988.25189250121</v>
      </c>
      <c r="I50" s="62">
        <v>56240.508108349801</v>
      </c>
      <c r="J50" s="63">
        <v>3218060.0431584166</v>
      </c>
      <c r="K50" s="62">
        <v>28517.228996406335</v>
      </c>
      <c r="L50" s="62">
        <v>34084.489243445787</v>
      </c>
      <c r="M50" s="62">
        <v>18733.725453726449</v>
      </c>
      <c r="N50" s="64">
        <v>1038835.0766162223</v>
      </c>
      <c r="O50" s="62"/>
      <c r="P50" s="62">
        <f t="shared" si="11"/>
        <v>8863322.4394327383</v>
      </c>
      <c r="Q50" s="56">
        <f t="shared" si="10"/>
        <v>8863322.4394325186</v>
      </c>
      <c r="R50" s="115">
        <f t="shared" si="12"/>
        <v>-2.1979212760925293E-7</v>
      </c>
    </row>
    <row r="51" spans="1:18" x14ac:dyDescent="0.25">
      <c r="A51" s="57"/>
      <c r="B51" s="7" t="s">
        <v>90</v>
      </c>
      <c r="C51" s="62">
        <v>6381720.2932751775</v>
      </c>
      <c r="D51" s="62">
        <v>0</v>
      </c>
      <c r="E51" s="62">
        <v>0</v>
      </c>
      <c r="F51" s="63">
        <v>0</v>
      </c>
      <c r="G51" s="62">
        <v>0</v>
      </c>
      <c r="H51" s="62">
        <v>0</v>
      </c>
      <c r="I51" s="62">
        <v>0</v>
      </c>
      <c r="J51" s="63">
        <v>0</v>
      </c>
      <c r="K51" s="62">
        <v>0</v>
      </c>
      <c r="L51" s="62">
        <v>0</v>
      </c>
      <c r="M51" s="62">
        <v>0</v>
      </c>
      <c r="N51" s="64">
        <v>0</v>
      </c>
      <c r="O51" s="62"/>
      <c r="P51" s="62">
        <f t="shared" si="11"/>
        <v>6381720.2932751775</v>
      </c>
      <c r="Q51" s="56">
        <f t="shared" si="10"/>
        <v>6381720.2932697292</v>
      </c>
      <c r="R51" s="115">
        <f t="shared" si="12"/>
        <v>-5.4482370615005493E-6</v>
      </c>
    </row>
    <row r="52" spans="1:18" x14ac:dyDescent="0.25">
      <c r="A52" s="57"/>
      <c r="B52" s="7" t="s">
        <v>91</v>
      </c>
      <c r="C52" s="62">
        <v>0</v>
      </c>
      <c r="D52" s="62">
        <v>10663580.16767548</v>
      </c>
      <c r="E52" s="62">
        <v>0</v>
      </c>
      <c r="F52" s="63">
        <v>0</v>
      </c>
      <c r="G52" s="62">
        <v>0</v>
      </c>
      <c r="H52" s="62">
        <v>0</v>
      </c>
      <c r="I52" s="62">
        <v>0</v>
      </c>
      <c r="J52" s="63">
        <v>0</v>
      </c>
      <c r="K52" s="62">
        <v>0</v>
      </c>
      <c r="L52" s="62">
        <v>0</v>
      </c>
      <c r="M52" s="62">
        <v>0</v>
      </c>
      <c r="N52" s="64">
        <v>0</v>
      </c>
      <c r="O52" s="62"/>
      <c r="P52" s="62">
        <f>SUM(C52:O52)</f>
        <v>10663580.16767548</v>
      </c>
      <c r="Q52" s="56">
        <f t="shared" si="10"/>
        <v>10663580.167676324</v>
      </c>
      <c r="R52" s="115">
        <f t="shared" si="12"/>
        <v>8.4377825260162354E-7</v>
      </c>
    </row>
    <row r="53" spans="1:18" x14ac:dyDescent="0.25">
      <c r="A53" s="57"/>
      <c r="B53" s="7" t="s">
        <v>92</v>
      </c>
      <c r="C53" s="62">
        <v>0</v>
      </c>
      <c r="D53" s="62">
        <v>0</v>
      </c>
      <c r="E53" s="62">
        <v>7536298.5439960016</v>
      </c>
      <c r="F53" s="63">
        <v>0</v>
      </c>
      <c r="G53" s="62">
        <v>0</v>
      </c>
      <c r="H53" s="62">
        <v>0</v>
      </c>
      <c r="I53" s="62">
        <v>0</v>
      </c>
      <c r="J53" s="63">
        <v>0</v>
      </c>
      <c r="K53" s="62">
        <v>0</v>
      </c>
      <c r="L53" s="62">
        <v>0</v>
      </c>
      <c r="M53" s="62">
        <v>0</v>
      </c>
      <c r="N53" s="64">
        <v>0</v>
      </c>
      <c r="O53" s="62"/>
      <c r="P53" s="62">
        <f t="shared" ref="P53:P54" si="13">SUM(C53:O53)</f>
        <v>7536298.5439960016</v>
      </c>
      <c r="Q53" s="56">
        <f t="shared" si="10"/>
        <v>7536298.5440002624</v>
      </c>
      <c r="R53" s="115">
        <f t="shared" si="12"/>
        <v>4.2608007788658142E-6</v>
      </c>
    </row>
    <row r="54" spans="1:18" x14ac:dyDescent="0.25">
      <c r="A54" s="57"/>
      <c r="B54" s="7" t="s">
        <v>93</v>
      </c>
      <c r="C54" s="66">
        <v>0</v>
      </c>
      <c r="D54" s="66">
        <v>0</v>
      </c>
      <c r="E54" s="66">
        <v>0</v>
      </c>
      <c r="F54" s="67">
        <v>4576959.8783536023</v>
      </c>
      <c r="G54" s="124">
        <v>0</v>
      </c>
      <c r="H54" s="66">
        <v>0</v>
      </c>
      <c r="I54" s="66">
        <v>0</v>
      </c>
      <c r="J54" s="67">
        <v>0</v>
      </c>
      <c r="K54" s="66">
        <v>0</v>
      </c>
      <c r="L54" s="66">
        <v>0</v>
      </c>
      <c r="M54" s="66">
        <v>0</v>
      </c>
      <c r="N54" s="68">
        <v>0</v>
      </c>
      <c r="O54" s="62"/>
      <c r="P54" s="62">
        <f t="shared" si="13"/>
        <v>4576959.8783536023</v>
      </c>
      <c r="Q54" s="56">
        <f t="shared" si="10"/>
        <v>4576959.8783534179</v>
      </c>
      <c r="R54" s="115">
        <f t="shared" si="12"/>
        <v>-1.8440186977386475E-7</v>
      </c>
    </row>
    <row r="55" spans="1:18" x14ac:dyDescent="0.25">
      <c r="A55" s="14"/>
      <c r="B55" s="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71">
        <f>SUM(P47:P54)</f>
        <v>85171414.574977994</v>
      </c>
      <c r="Q55" s="71">
        <f>SUM(Q47:Q54)</f>
        <v>85171414.574977994</v>
      </c>
      <c r="R55" s="13"/>
    </row>
    <row r="56" spans="1:18" x14ac:dyDescent="0.25">
      <c r="A56" s="14"/>
      <c r="B56" s="9" t="s">
        <v>77</v>
      </c>
      <c r="C56" s="62">
        <f>SUM(C47:C54)</f>
        <v>11543223.959257616</v>
      </c>
      <c r="D56" s="62">
        <f>SUM(D47:D54)</f>
        <v>20058947.265600279</v>
      </c>
      <c r="E56" s="62">
        <f>SUM(E47:E53)</f>
        <v>15547362.027387854</v>
      </c>
      <c r="F56" s="62">
        <f>SUM(F47:F54)</f>
        <v>8863322.4394325186</v>
      </c>
      <c r="G56" s="62">
        <f>SUM(G47:G54)</f>
        <v>5199102.7630894743</v>
      </c>
      <c r="H56" s="62">
        <f t="shared" ref="H56:N56" si="14">SUM(H47:H52)</f>
        <v>8207737.0939748259</v>
      </c>
      <c r="I56" s="62">
        <f t="shared" si="14"/>
        <v>5392379.3546257121</v>
      </c>
      <c r="J56" s="62">
        <f t="shared" si="14"/>
        <v>3363374.3576776846</v>
      </c>
      <c r="K56" s="62">
        <f t="shared" si="14"/>
        <v>1182617.5301802561</v>
      </c>
      <c r="L56" s="62">
        <f t="shared" si="14"/>
        <v>2455843.073701499</v>
      </c>
      <c r="M56" s="62">
        <f t="shared" si="14"/>
        <v>2143919.1893745493</v>
      </c>
      <c r="N56" s="62">
        <f t="shared" si="14"/>
        <v>1213585.5206757332</v>
      </c>
      <c r="O56" s="71">
        <f>SUM(C56:N56)</f>
        <v>85171414.574978024</v>
      </c>
      <c r="P56" s="62">
        <f>P55-O56</f>
        <v>0</v>
      </c>
      <c r="Q56" s="2"/>
      <c r="R56" s="13"/>
    </row>
    <row r="57" spans="1:18" x14ac:dyDescent="0.25">
      <c r="A57" s="14"/>
      <c r="B57" s="7" t="s">
        <v>78</v>
      </c>
      <c r="C57" s="116">
        <f t="shared" ref="C57:N57" si="15">C17</f>
        <v>11543223.959257616</v>
      </c>
      <c r="D57" s="116">
        <f t="shared" si="15"/>
        <v>20058947.265600275</v>
      </c>
      <c r="E57" s="116">
        <f t="shared" si="15"/>
        <v>15547362.027387854</v>
      </c>
      <c r="F57" s="116">
        <f t="shared" si="15"/>
        <v>8863322.4394325186</v>
      </c>
      <c r="G57" s="116">
        <f t="shared" si="15"/>
        <v>5199102.7630894734</v>
      </c>
      <c r="H57" s="116">
        <f t="shared" si="15"/>
        <v>8207737.093974825</v>
      </c>
      <c r="I57" s="116">
        <f t="shared" si="15"/>
        <v>5392379.3546257121</v>
      </c>
      <c r="J57" s="116">
        <f t="shared" si="15"/>
        <v>3363374.3576776846</v>
      </c>
      <c r="K57" s="116">
        <f t="shared" si="15"/>
        <v>1182617.5301802559</v>
      </c>
      <c r="L57" s="116">
        <f t="shared" si="15"/>
        <v>2455843.0737014995</v>
      </c>
      <c r="M57" s="116">
        <f t="shared" si="15"/>
        <v>2143919.1893745498</v>
      </c>
      <c r="N57" s="116">
        <f t="shared" si="15"/>
        <v>1213585.5206757332</v>
      </c>
      <c r="O57" s="71">
        <f>SUM(C57:N57)</f>
        <v>85171414.574977994</v>
      </c>
      <c r="P57" s="2"/>
      <c r="Q57" s="120"/>
      <c r="R57" s="13"/>
    </row>
    <row r="58" spans="1:18" x14ac:dyDescent="0.25">
      <c r="A58" s="19"/>
      <c r="B58" s="20"/>
      <c r="C58" s="119">
        <f>C57-C56</f>
        <v>0</v>
      </c>
      <c r="D58" s="119">
        <f t="shared" ref="D58:N58" si="16">D57-D56</f>
        <v>0</v>
      </c>
      <c r="E58" s="119">
        <f t="shared" si="16"/>
        <v>0</v>
      </c>
      <c r="F58" s="119">
        <f t="shared" si="16"/>
        <v>0</v>
      </c>
      <c r="G58" s="119">
        <f t="shared" si="16"/>
        <v>0</v>
      </c>
      <c r="H58" s="119">
        <f t="shared" si="16"/>
        <v>0</v>
      </c>
      <c r="I58" s="119">
        <f t="shared" si="16"/>
        <v>0</v>
      </c>
      <c r="J58" s="119">
        <f t="shared" si="16"/>
        <v>0</v>
      </c>
      <c r="K58" s="119">
        <f t="shared" si="16"/>
        <v>0</v>
      </c>
      <c r="L58" s="119">
        <f t="shared" si="16"/>
        <v>0</v>
      </c>
      <c r="M58" s="119">
        <f t="shared" si="16"/>
        <v>0</v>
      </c>
      <c r="N58" s="119">
        <f t="shared" si="16"/>
        <v>0</v>
      </c>
      <c r="O58" s="20"/>
      <c r="P58" s="20"/>
      <c r="Q58" s="20"/>
      <c r="R58" s="21"/>
    </row>
    <row r="60" spans="1:18" x14ac:dyDescent="0.25">
      <c r="A60" s="59" t="s">
        <v>85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5"/>
    </row>
    <row r="61" spans="1:18" x14ac:dyDescent="0.25">
      <c r="A61" s="14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13"/>
    </row>
    <row r="62" spans="1:18" x14ac:dyDescent="0.25">
      <c r="A62" s="14"/>
      <c r="B62" s="2"/>
      <c r="C62" s="152" t="s">
        <v>11</v>
      </c>
      <c r="D62" s="152"/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2"/>
      <c r="P62" s="7" t="s">
        <v>13</v>
      </c>
      <c r="Q62" s="2"/>
      <c r="R62" s="13"/>
    </row>
    <row r="63" spans="1:18" x14ac:dyDescent="0.25">
      <c r="A63" s="14"/>
      <c r="B63" s="2"/>
      <c r="C63" s="146" t="s">
        <v>1</v>
      </c>
      <c r="D63" s="145"/>
      <c r="E63" s="145"/>
      <c r="F63" s="147"/>
      <c r="G63" s="145" t="s">
        <v>5</v>
      </c>
      <c r="H63" s="145"/>
      <c r="I63" s="145"/>
      <c r="J63" s="147"/>
      <c r="K63" s="148" t="s">
        <v>3</v>
      </c>
      <c r="L63" s="145"/>
      <c r="M63" s="145"/>
      <c r="N63" s="149"/>
      <c r="O63" s="2"/>
      <c r="P63" s="2"/>
      <c r="Q63" s="2"/>
      <c r="R63" s="13"/>
    </row>
    <row r="64" spans="1:18" ht="15.75" thickBot="1" x14ac:dyDescent="0.3">
      <c r="A64" s="14"/>
      <c r="B64" s="2"/>
      <c r="C64" s="72" t="s">
        <v>7</v>
      </c>
      <c r="D64" s="73" t="s">
        <v>8</v>
      </c>
      <c r="E64" s="73" t="s">
        <v>9</v>
      </c>
      <c r="F64" s="74" t="s">
        <v>0</v>
      </c>
      <c r="G64" s="73" t="s">
        <v>7</v>
      </c>
      <c r="H64" s="73" t="s">
        <v>8</v>
      </c>
      <c r="I64" s="73" t="s">
        <v>9</v>
      </c>
      <c r="J64" s="74" t="s">
        <v>0</v>
      </c>
      <c r="K64" s="73" t="s">
        <v>7</v>
      </c>
      <c r="L64" s="73" t="s">
        <v>8</v>
      </c>
      <c r="M64" s="73" t="s">
        <v>9</v>
      </c>
      <c r="N64" s="75" t="s">
        <v>0</v>
      </c>
      <c r="O64" s="2"/>
      <c r="P64" s="2"/>
      <c r="Q64" s="2"/>
      <c r="R64" s="13"/>
    </row>
    <row r="65" spans="1:18" ht="15.75" thickTop="1" x14ac:dyDescent="0.25">
      <c r="A65" s="150" t="s">
        <v>10</v>
      </c>
      <c r="B65" s="7" t="s">
        <v>7</v>
      </c>
      <c r="C65" s="61">
        <f>C47</f>
        <v>4729918.1319758715</v>
      </c>
      <c r="D65" s="62">
        <f t="shared" ref="D65:N65" si="17">D47</f>
        <v>196398.43124572397</v>
      </c>
      <c r="E65" s="62">
        <f t="shared" si="17"/>
        <v>132653.87390410679</v>
      </c>
      <c r="F65" s="63">
        <f t="shared" si="17"/>
        <v>210360.37754818847</v>
      </c>
      <c r="G65" s="62">
        <f t="shared" si="17"/>
        <v>4988004.5364301633</v>
      </c>
      <c r="H65" s="62">
        <f t="shared" si="17"/>
        <v>73037.631980075428</v>
      </c>
      <c r="I65" s="62">
        <f t="shared" si="17"/>
        <v>33487.598044293001</v>
      </c>
      <c r="J65" s="63">
        <f t="shared" si="17"/>
        <v>33881.798790083492</v>
      </c>
      <c r="K65" s="62">
        <f t="shared" si="17"/>
        <v>1040280.4435646933</v>
      </c>
      <c r="L65" s="62">
        <f t="shared" si="17"/>
        <v>44835.073535034193</v>
      </c>
      <c r="M65" s="62">
        <f t="shared" si="17"/>
        <v>32876.481390007757</v>
      </c>
      <c r="N65" s="64">
        <f t="shared" si="17"/>
        <v>27489.580857890753</v>
      </c>
      <c r="O65" s="2"/>
      <c r="P65" s="2">
        <f>SUM(C65:N65)</f>
        <v>11543223.959266132</v>
      </c>
      <c r="Q65" s="2"/>
      <c r="R65" s="13"/>
    </row>
    <row r="66" spans="1:18" x14ac:dyDescent="0.25">
      <c r="A66" s="150"/>
      <c r="B66" s="7" t="s">
        <v>8</v>
      </c>
      <c r="C66" s="61">
        <f t="shared" ref="C66:N68" si="18">C48</f>
        <v>180476.60954279522</v>
      </c>
      <c r="D66" s="62">
        <f t="shared" si="18"/>
        <v>8557124.0484709982</v>
      </c>
      <c r="E66" s="62">
        <f t="shared" si="18"/>
        <v>275347.28921450645</v>
      </c>
      <c r="F66" s="63">
        <f t="shared" si="18"/>
        <v>345246.17037996365</v>
      </c>
      <c r="G66" s="62">
        <f t="shared" si="18"/>
        <v>65780.959481814018</v>
      </c>
      <c r="H66" s="62">
        <f t="shared" si="18"/>
        <v>7858021.2816059915</v>
      </c>
      <c r="I66" s="62">
        <f t="shared" si="18"/>
        <v>82217.631749977634</v>
      </c>
      <c r="J66" s="63">
        <f t="shared" si="18"/>
        <v>77251.625739912706</v>
      </c>
      <c r="K66" s="62">
        <f t="shared" si="18"/>
        <v>76108.376660157781</v>
      </c>
      <c r="L66" s="62">
        <f t="shared" si="18"/>
        <v>2340572.4439230561</v>
      </c>
      <c r="M66" s="62">
        <f t="shared" si="18"/>
        <v>92355.11272903574</v>
      </c>
      <c r="N66" s="64">
        <f t="shared" si="18"/>
        <v>108445.7161006548</v>
      </c>
      <c r="O66" s="2"/>
      <c r="P66" s="2">
        <f t="shared" ref="P66:P69" si="19">SUM(C66:N66)</f>
        <v>20058947.265598863</v>
      </c>
      <c r="Q66" s="2"/>
      <c r="R66" s="13"/>
    </row>
    <row r="67" spans="1:18" x14ac:dyDescent="0.25">
      <c r="A67" s="150"/>
      <c r="B67" s="7" t="s">
        <v>9</v>
      </c>
      <c r="C67" s="61">
        <f t="shared" si="18"/>
        <v>116656.90724639114</v>
      </c>
      <c r="D67" s="62">
        <f t="shared" si="18"/>
        <v>291554.61018895649</v>
      </c>
      <c r="E67" s="62">
        <f t="shared" si="18"/>
        <v>7367236.9728780091</v>
      </c>
      <c r="F67" s="63">
        <f t="shared" si="18"/>
        <v>165274.68406522545</v>
      </c>
      <c r="G67" s="62">
        <f t="shared" si="18"/>
        <v>84502.852931093323</v>
      </c>
      <c r="H67" s="62">
        <f t="shared" si="18"/>
        <v>154689.92849625705</v>
      </c>
      <c r="I67" s="62">
        <f t="shared" si="18"/>
        <v>5220433.6167230923</v>
      </c>
      <c r="J67" s="63">
        <f t="shared" si="18"/>
        <v>34180.889989271811</v>
      </c>
      <c r="K67" s="62">
        <f t="shared" si="18"/>
        <v>37711.480958998771</v>
      </c>
      <c r="L67" s="62">
        <f t="shared" si="18"/>
        <v>36351.066999962852</v>
      </c>
      <c r="M67" s="62">
        <f t="shared" si="18"/>
        <v>1999953.8698017795</v>
      </c>
      <c r="N67" s="64">
        <f t="shared" si="18"/>
        <v>38815.147100965383</v>
      </c>
      <c r="O67" s="2"/>
      <c r="P67" s="2">
        <f t="shared" si="19"/>
        <v>15547362.027380003</v>
      </c>
      <c r="Q67" s="2"/>
      <c r="R67" s="13"/>
    </row>
    <row r="68" spans="1:18" x14ac:dyDescent="0.25">
      <c r="A68" s="150"/>
      <c r="B68" s="7" t="s">
        <v>0</v>
      </c>
      <c r="C68" s="61">
        <f t="shared" si="18"/>
        <v>134452.01721737953</v>
      </c>
      <c r="D68" s="62">
        <f t="shared" si="18"/>
        <v>350290.00801911682</v>
      </c>
      <c r="E68" s="62">
        <f t="shared" si="18"/>
        <v>235825.34739523032</v>
      </c>
      <c r="F68" s="63">
        <f t="shared" si="18"/>
        <v>3565481.3290855391</v>
      </c>
      <c r="G68" s="62">
        <f t="shared" si="18"/>
        <v>60814.414246403656</v>
      </c>
      <c r="H68" s="62">
        <f t="shared" si="18"/>
        <v>121988.25189250121</v>
      </c>
      <c r="I68" s="62">
        <f t="shared" si="18"/>
        <v>56240.508108349801</v>
      </c>
      <c r="J68" s="63">
        <f t="shared" si="18"/>
        <v>3218060.0431584166</v>
      </c>
      <c r="K68" s="62">
        <f t="shared" si="18"/>
        <v>28517.228996406335</v>
      </c>
      <c r="L68" s="62">
        <f t="shared" si="18"/>
        <v>34084.489243445787</v>
      </c>
      <c r="M68" s="62">
        <f t="shared" si="18"/>
        <v>18733.725453726449</v>
      </c>
      <c r="N68" s="64">
        <f t="shared" si="18"/>
        <v>1038835.0766162223</v>
      </c>
      <c r="O68" s="2"/>
      <c r="P68" s="2">
        <f t="shared" si="19"/>
        <v>8863322.4394327383</v>
      </c>
      <c r="Q68" s="2"/>
      <c r="R68" s="13"/>
    </row>
    <row r="69" spans="1:18" x14ac:dyDescent="0.25">
      <c r="A69" s="57"/>
      <c r="B69" s="7" t="s">
        <v>2</v>
      </c>
      <c r="C69" s="65">
        <f>C51</f>
        <v>6381720.2932751775</v>
      </c>
      <c r="D69" s="66">
        <f>D52</f>
        <v>10663580.16767548</v>
      </c>
      <c r="E69" s="66">
        <f>E53</f>
        <v>7536298.5439960016</v>
      </c>
      <c r="F69" s="67">
        <f>F54</f>
        <v>4576959.8783536023</v>
      </c>
      <c r="G69" s="66">
        <f>SUM(G51:G54)</f>
        <v>0</v>
      </c>
      <c r="H69" s="66">
        <f t="shared" ref="H69:N69" si="20">SUM(H51:H54)</f>
        <v>0</v>
      </c>
      <c r="I69" s="66">
        <f t="shared" si="20"/>
        <v>0</v>
      </c>
      <c r="J69" s="67">
        <f t="shared" si="20"/>
        <v>0</v>
      </c>
      <c r="K69" s="66">
        <f t="shared" si="20"/>
        <v>0</v>
      </c>
      <c r="L69" s="66">
        <f t="shared" si="20"/>
        <v>0</v>
      </c>
      <c r="M69" s="66">
        <f t="shared" si="20"/>
        <v>0</v>
      </c>
      <c r="N69" s="68">
        <f t="shared" si="20"/>
        <v>0</v>
      </c>
      <c r="O69" s="2"/>
      <c r="P69" s="2">
        <f t="shared" si="19"/>
        <v>29158558.883300263</v>
      </c>
      <c r="Q69" s="2"/>
      <c r="R69" s="13"/>
    </row>
    <row r="70" spans="1:18" x14ac:dyDescent="0.25">
      <c r="A70" s="14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7">
        <f>SUM(P65:P69)</f>
        <v>85171414.574978009</v>
      </c>
      <c r="Q70" s="2"/>
      <c r="R70" s="13"/>
    </row>
    <row r="71" spans="1:18" x14ac:dyDescent="0.25">
      <c r="A71" s="14"/>
      <c r="B71" s="9" t="s">
        <v>12</v>
      </c>
      <c r="C71" s="2">
        <f>SUM(C65:C69)</f>
        <v>11543223.959257616</v>
      </c>
      <c r="D71" s="2">
        <f t="shared" ref="D71:N71" si="21">SUM(D65:D69)</f>
        <v>20058947.265600279</v>
      </c>
      <c r="E71" s="2">
        <f t="shared" si="21"/>
        <v>15547362.027387854</v>
      </c>
      <c r="F71" s="2">
        <f t="shared" si="21"/>
        <v>8863322.4394325186</v>
      </c>
      <c r="G71" s="2">
        <f t="shared" si="21"/>
        <v>5199102.7630894743</v>
      </c>
      <c r="H71" s="2">
        <f t="shared" si="21"/>
        <v>8207737.0939748259</v>
      </c>
      <c r="I71" s="2">
        <f t="shared" si="21"/>
        <v>5392379.3546257121</v>
      </c>
      <c r="J71" s="2">
        <f t="shared" si="21"/>
        <v>3363374.3576776846</v>
      </c>
      <c r="K71" s="2">
        <f t="shared" si="21"/>
        <v>1182617.5301802561</v>
      </c>
      <c r="L71" s="2">
        <f t="shared" si="21"/>
        <v>2455843.073701499</v>
      </c>
      <c r="M71" s="2">
        <f t="shared" si="21"/>
        <v>2143919.1893745493</v>
      </c>
      <c r="N71" s="2">
        <f t="shared" si="21"/>
        <v>1213585.5206757332</v>
      </c>
      <c r="O71" s="7">
        <f>SUM(C71:N71)</f>
        <v>85171414.574978024</v>
      </c>
      <c r="P71" s="2"/>
      <c r="Q71" s="2"/>
      <c r="R71" s="13"/>
    </row>
    <row r="72" spans="1:18" x14ac:dyDescent="0.25">
      <c r="A72" s="19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1"/>
    </row>
  </sheetData>
  <mergeCells count="15">
    <mergeCell ref="A65:A68"/>
    <mergeCell ref="C45:F45"/>
    <mergeCell ref="G45:J45"/>
    <mergeCell ref="K45:N45"/>
    <mergeCell ref="A47:A50"/>
    <mergeCell ref="C62:N62"/>
    <mergeCell ref="C63:F63"/>
    <mergeCell ref="G63:J63"/>
    <mergeCell ref="K63:N63"/>
    <mergeCell ref="C4:N4"/>
    <mergeCell ref="C5:F5"/>
    <mergeCell ref="G5:J5"/>
    <mergeCell ref="K5:N5"/>
    <mergeCell ref="A7:A10"/>
    <mergeCell ref="C44:N44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E91"/>
  <sheetViews>
    <sheetView zoomScaleNormal="100" workbookViewId="0">
      <pane xSplit="2" topLeftCell="R1" activePane="topRight" state="frozen"/>
      <selection pane="topRight" activeCell="C7" sqref="C7:Z15"/>
    </sheetView>
  </sheetViews>
  <sheetFormatPr defaultRowHeight="15" x14ac:dyDescent="0.25"/>
  <cols>
    <col min="1" max="1" width="19" bestFit="1" customWidth="1"/>
    <col min="2" max="2" width="78.7109375" customWidth="1"/>
    <col min="3" max="16" width="13.85546875" customWidth="1"/>
    <col min="17" max="17" width="14.85546875" bestFit="1" customWidth="1"/>
    <col min="18" max="26" width="13.85546875" customWidth="1"/>
    <col min="27" max="29" width="15.28515625" bestFit="1" customWidth="1"/>
    <col min="30" max="30" width="11.5703125" bestFit="1" customWidth="1"/>
    <col min="31" max="31" width="12.7109375" bestFit="1" customWidth="1"/>
    <col min="32" max="32" width="12" bestFit="1" customWidth="1"/>
  </cols>
  <sheetData>
    <row r="1" spans="1:31" ht="18.75" x14ac:dyDescent="0.3">
      <c r="A1" s="6" t="s">
        <v>182</v>
      </c>
    </row>
    <row r="3" spans="1:31" x14ac:dyDescent="0.25">
      <c r="A3" s="59" t="s">
        <v>82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5"/>
    </row>
    <row r="4" spans="1:31" x14ac:dyDescent="0.25">
      <c r="A4" s="14"/>
      <c r="B4" s="2"/>
      <c r="C4" s="152" t="s">
        <v>27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2"/>
      <c r="AB4" s="7" t="s">
        <v>29</v>
      </c>
      <c r="AC4" s="7" t="s">
        <v>39</v>
      </c>
      <c r="AD4" s="2"/>
      <c r="AE4" s="13"/>
    </row>
    <row r="5" spans="1:31" ht="15" customHeight="1" x14ac:dyDescent="0.25">
      <c r="A5" s="14"/>
      <c r="B5" s="2"/>
      <c r="C5" s="157" t="s">
        <v>26</v>
      </c>
      <c r="D5" s="158"/>
      <c r="E5" s="158"/>
      <c r="F5" s="158"/>
      <c r="G5" s="158"/>
      <c r="H5" s="158"/>
      <c r="I5" s="158"/>
      <c r="J5" s="159"/>
      <c r="K5" s="157" t="s">
        <v>5</v>
      </c>
      <c r="L5" s="158"/>
      <c r="M5" s="158"/>
      <c r="N5" s="158"/>
      <c r="O5" s="158"/>
      <c r="P5" s="158"/>
      <c r="Q5" s="158"/>
      <c r="R5" s="159"/>
      <c r="S5" s="157" t="s">
        <v>3</v>
      </c>
      <c r="T5" s="158"/>
      <c r="U5" s="158"/>
      <c r="V5" s="158"/>
      <c r="W5" s="158"/>
      <c r="X5" s="158"/>
      <c r="Y5" s="158"/>
      <c r="Z5" s="160"/>
      <c r="AA5" s="2"/>
      <c r="AB5" s="2"/>
      <c r="AC5" s="2"/>
      <c r="AD5" s="2"/>
      <c r="AE5" s="13"/>
    </row>
    <row r="6" spans="1:31" ht="15.75" thickBot="1" x14ac:dyDescent="0.3">
      <c r="A6" s="14"/>
      <c r="B6" s="2"/>
      <c r="C6" s="23" t="s">
        <v>14</v>
      </c>
      <c r="D6" s="24" t="s">
        <v>22</v>
      </c>
      <c r="E6" s="24" t="s">
        <v>15</v>
      </c>
      <c r="F6" s="24" t="s">
        <v>23</v>
      </c>
      <c r="G6" s="24" t="s">
        <v>16</v>
      </c>
      <c r="H6" s="24" t="s">
        <v>24</v>
      </c>
      <c r="I6" s="24" t="s">
        <v>17</v>
      </c>
      <c r="J6" s="25" t="s">
        <v>25</v>
      </c>
      <c r="K6" s="23" t="s">
        <v>14</v>
      </c>
      <c r="L6" s="24" t="s">
        <v>22</v>
      </c>
      <c r="M6" s="24" t="s">
        <v>15</v>
      </c>
      <c r="N6" s="24" t="s">
        <v>23</v>
      </c>
      <c r="O6" s="24" t="s">
        <v>16</v>
      </c>
      <c r="P6" s="24" t="s">
        <v>24</v>
      </c>
      <c r="Q6" s="24" t="s">
        <v>17</v>
      </c>
      <c r="R6" s="25" t="s">
        <v>25</v>
      </c>
      <c r="S6" s="23" t="s">
        <v>14</v>
      </c>
      <c r="T6" s="24" t="s">
        <v>22</v>
      </c>
      <c r="U6" s="24" t="s">
        <v>15</v>
      </c>
      <c r="V6" s="24" t="s">
        <v>23</v>
      </c>
      <c r="W6" s="24" t="s">
        <v>16</v>
      </c>
      <c r="X6" s="24" t="s">
        <v>24</v>
      </c>
      <c r="Y6" s="24" t="s">
        <v>17</v>
      </c>
      <c r="Z6" s="38" t="s">
        <v>25</v>
      </c>
      <c r="AA6" s="2"/>
      <c r="AB6" s="2"/>
      <c r="AC6" s="2"/>
      <c r="AD6" s="2"/>
      <c r="AE6" s="13"/>
    </row>
    <row r="7" spans="1:31" ht="15.75" thickTop="1" x14ac:dyDescent="0.25">
      <c r="A7" s="161" t="s">
        <v>43</v>
      </c>
      <c r="B7" s="22" t="s">
        <v>14</v>
      </c>
      <c r="C7" s="83">
        <f>'BenchBalanced-1995'!C53</f>
        <v>5584844.0888938438</v>
      </c>
      <c r="D7" s="84">
        <v>0</v>
      </c>
      <c r="E7" s="84">
        <v>0</v>
      </c>
      <c r="F7" s="84">
        <v>0</v>
      </c>
      <c r="G7" s="85">
        <v>0</v>
      </c>
      <c r="H7" s="85">
        <v>0</v>
      </c>
      <c r="I7" s="85">
        <v>0</v>
      </c>
      <c r="J7" s="86">
        <v>0</v>
      </c>
      <c r="K7" s="83">
        <f>'BenchBalanced-1995'!G53</f>
        <v>5867262.4424776854</v>
      </c>
      <c r="L7" s="84">
        <v>0</v>
      </c>
      <c r="M7" s="84">
        <v>0</v>
      </c>
      <c r="N7" s="84">
        <v>0</v>
      </c>
      <c r="O7" s="85">
        <v>0</v>
      </c>
      <c r="P7" s="85">
        <v>0</v>
      </c>
      <c r="Q7" s="85">
        <v>0</v>
      </c>
      <c r="R7" s="86">
        <v>0</v>
      </c>
      <c r="S7" s="83">
        <f>'BenchBalanced-1995'!K53</f>
        <v>1228430.404399208</v>
      </c>
      <c r="T7" s="84">
        <v>0</v>
      </c>
      <c r="U7" s="84">
        <v>0</v>
      </c>
      <c r="V7" s="84">
        <v>0</v>
      </c>
      <c r="W7" s="85">
        <v>0</v>
      </c>
      <c r="X7" s="85">
        <v>0</v>
      </c>
      <c r="Y7" s="85">
        <v>0</v>
      </c>
      <c r="Z7" s="87">
        <v>0</v>
      </c>
      <c r="AA7" s="62"/>
      <c r="AB7" s="62">
        <f>SUM(C7:Z7)</f>
        <v>12680536.935770739</v>
      </c>
      <c r="AC7" s="62">
        <f>'BenchmarkIOMatrix-1995'!C35-'Alt2-Balanced-Trd'!AC8</f>
        <v>12590244.10182373</v>
      </c>
      <c r="AD7" s="2"/>
      <c r="AE7" s="13"/>
    </row>
    <row r="8" spans="1:31" x14ac:dyDescent="0.25">
      <c r="A8" s="161"/>
      <c r="B8" s="22" t="s">
        <v>18</v>
      </c>
      <c r="C8" s="83">
        <v>0</v>
      </c>
      <c r="D8" s="84">
        <v>0</v>
      </c>
      <c r="E8" s="84">
        <v>0</v>
      </c>
      <c r="F8" s="84">
        <f>'BenchBalanced-1995'!D53</f>
        <v>255279.65553429612</v>
      </c>
      <c r="G8" s="84">
        <v>0</v>
      </c>
      <c r="H8" s="84">
        <f>'BenchBalanced-1995'!E53</f>
        <v>101767.42729966232</v>
      </c>
      <c r="I8" s="84">
        <v>0</v>
      </c>
      <c r="J8" s="86">
        <f>'BenchBalanced-1995'!F53</f>
        <v>181141.27996116076</v>
      </c>
      <c r="K8" s="83">
        <v>0</v>
      </c>
      <c r="L8" s="84">
        <v>0</v>
      </c>
      <c r="M8" s="84">
        <v>0</v>
      </c>
      <c r="N8" s="84">
        <f>'BenchBalanced-1995'!H35</f>
        <v>93673.103677839434</v>
      </c>
      <c r="O8" s="84">
        <v>0</v>
      </c>
      <c r="P8" s="84">
        <f>'BenchBalanced-1995'!I35</f>
        <v>26263.156265772657</v>
      </c>
      <c r="Q8" s="84">
        <v>0</v>
      </c>
      <c r="R8" s="86">
        <f>'BenchBalanced-1995'!J53</f>
        <v>30185.464546718667</v>
      </c>
      <c r="S8" s="83">
        <v>0</v>
      </c>
      <c r="T8" s="84">
        <v>0</v>
      </c>
      <c r="U8" s="84">
        <v>0</v>
      </c>
      <c r="V8" s="84">
        <f>'BenchBalanced-1995'!L53</f>
        <v>57433.616809549116</v>
      </c>
      <c r="W8" s="84">
        <v>0</v>
      </c>
      <c r="X8" s="84">
        <f>'BenchBalanced-1995'!M53</f>
        <v>25175.577535009244</v>
      </c>
      <c r="Y8" s="84">
        <v>0</v>
      </c>
      <c r="Z8" s="87">
        <f>'BenchBalanced-1995'!N53</f>
        <v>23756.720662737436</v>
      </c>
      <c r="AA8" s="62"/>
      <c r="AB8" s="62">
        <f t="shared" ref="AB8:AB15" si="0">SUM(C8:Z8)</f>
        <v>794676.00229274563</v>
      </c>
      <c r="AC8" s="62">
        <f>C37</f>
        <v>884968.83624775358</v>
      </c>
      <c r="AD8" s="48"/>
      <c r="AE8" s="77"/>
    </row>
    <row r="9" spans="1:31" x14ac:dyDescent="0.25">
      <c r="A9" s="161"/>
      <c r="B9" s="22" t="s">
        <v>15</v>
      </c>
      <c r="C9" s="83">
        <v>0</v>
      </c>
      <c r="D9" s="84">
        <v>0</v>
      </c>
      <c r="E9" s="84">
        <f>'BenchBalanced-1995'!D54</f>
        <v>12167615.843802262</v>
      </c>
      <c r="F9" s="84">
        <v>0</v>
      </c>
      <c r="G9" s="88">
        <v>0</v>
      </c>
      <c r="H9" s="88">
        <v>0</v>
      </c>
      <c r="I9" s="88">
        <v>0</v>
      </c>
      <c r="J9" s="89">
        <v>0</v>
      </c>
      <c r="K9" s="83">
        <v>0</v>
      </c>
      <c r="L9" s="84">
        <v>0</v>
      </c>
      <c r="M9" s="84">
        <f>'BenchBalanced-1995'!H36</f>
        <v>11025058.379034571</v>
      </c>
      <c r="N9" s="84">
        <v>0</v>
      </c>
      <c r="O9" s="88">
        <v>0</v>
      </c>
      <c r="P9" s="88">
        <v>0</v>
      </c>
      <c r="Q9" s="88">
        <v>0</v>
      </c>
      <c r="R9" s="89">
        <v>0</v>
      </c>
      <c r="S9" s="83">
        <v>0</v>
      </c>
      <c r="T9" s="84">
        <v>0</v>
      </c>
      <c r="U9" s="84">
        <f>'BenchBalanced-1995'!L36</f>
        <v>3279969.7532823854</v>
      </c>
      <c r="V9" s="84">
        <v>0</v>
      </c>
      <c r="W9" s="88">
        <v>0</v>
      </c>
      <c r="X9" s="88">
        <v>0</v>
      </c>
      <c r="Y9" s="88">
        <v>0</v>
      </c>
      <c r="Z9" s="90">
        <v>0</v>
      </c>
      <c r="AA9" s="62"/>
      <c r="AB9" s="62">
        <f t="shared" si="0"/>
        <v>26472643.97611922</v>
      </c>
      <c r="AC9" s="62">
        <f>'BenchmarkIOMatrix-1995'!D35-'Alt2-Balanced-Trd'!AC10</f>
        <v>25979401.769873172</v>
      </c>
      <c r="AD9" s="2"/>
      <c r="AE9" s="77"/>
    </row>
    <row r="10" spans="1:31" x14ac:dyDescent="0.25">
      <c r="A10" s="161"/>
      <c r="B10" s="22" t="s">
        <v>19</v>
      </c>
      <c r="C10" s="83">
        <v>0</v>
      </c>
      <c r="D10" s="84">
        <f>'BenchBalanced-1995'!C54</f>
        <v>233119.08221062407</v>
      </c>
      <c r="E10" s="84">
        <v>0</v>
      </c>
      <c r="F10" s="84">
        <v>0</v>
      </c>
      <c r="G10" s="84">
        <v>0</v>
      </c>
      <c r="H10" s="84">
        <f>'BenchBalanced-1995'!E54</f>
        <v>231083.60538756629</v>
      </c>
      <c r="I10" s="84">
        <v>0</v>
      </c>
      <c r="J10" s="86">
        <f>'BenchBalanced-1995'!F54</f>
        <v>325223.43441011378</v>
      </c>
      <c r="K10" s="83">
        <v>0</v>
      </c>
      <c r="L10" s="84">
        <f>'BenchBalanced-1995'!G54</f>
        <v>84646.372236560041</v>
      </c>
      <c r="M10" s="84">
        <v>0</v>
      </c>
      <c r="N10" s="84">
        <v>0</v>
      </c>
      <c r="O10" s="84">
        <v>0</v>
      </c>
      <c r="P10" s="84">
        <f>'BenchBalanced-1995'!I36</f>
        <v>70538.684120418227</v>
      </c>
      <c r="Q10" s="84">
        <v>0</v>
      </c>
      <c r="R10" s="86">
        <f>'BenchBalanced-1995'!J54</f>
        <v>75290.209212554604</v>
      </c>
      <c r="S10" s="83">
        <v>0</v>
      </c>
      <c r="T10" s="84">
        <f>'BenchBalanced-1995'!K54</f>
        <v>98317.777547751772</v>
      </c>
      <c r="U10" s="84">
        <v>0</v>
      </c>
      <c r="V10" s="84">
        <v>0</v>
      </c>
      <c r="W10" s="84">
        <v>0</v>
      </c>
      <c r="X10" s="84">
        <f>'BenchBalanced-1995'!M54</f>
        <v>77366.78059086416</v>
      </c>
      <c r="Y10" s="84">
        <v>0</v>
      </c>
      <c r="Z10" s="87">
        <f>'BenchBalanced-1995'!N54</f>
        <v>102525.11030918248</v>
      </c>
      <c r="AA10" s="62"/>
      <c r="AB10" s="62">
        <f t="shared" si="0"/>
        <v>1298111.0560256355</v>
      </c>
      <c r="AC10" s="62">
        <f>D37</f>
        <v>1791353.2622642587</v>
      </c>
      <c r="AD10" s="48"/>
      <c r="AE10" s="77"/>
    </row>
    <row r="11" spans="1:31" x14ac:dyDescent="0.25">
      <c r="A11" s="161"/>
      <c r="B11" s="78" t="s">
        <v>16</v>
      </c>
      <c r="C11" s="83">
        <v>0</v>
      </c>
      <c r="D11" s="84">
        <v>0</v>
      </c>
      <c r="E11" s="84">
        <v>0</v>
      </c>
      <c r="F11" s="84">
        <v>0</v>
      </c>
      <c r="G11" s="84">
        <f>'BenchBalanced-1995'!E55</f>
        <v>3618926.8692085594</v>
      </c>
      <c r="H11" s="84">
        <v>0</v>
      </c>
      <c r="I11" s="84">
        <v>0</v>
      </c>
      <c r="J11" s="86">
        <v>0</v>
      </c>
      <c r="K11" s="83">
        <v>0</v>
      </c>
      <c r="L11" s="84">
        <v>0</v>
      </c>
      <c r="M11" s="84">
        <v>0</v>
      </c>
      <c r="N11" s="84">
        <v>0</v>
      </c>
      <c r="O11" s="84">
        <f>'BenchBalanced-1995'!I37</f>
        <v>2621535.8816721882</v>
      </c>
      <c r="P11" s="84">
        <v>0</v>
      </c>
      <c r="Q11" s="84">
        <v>0</v>
      </c>
      <c r="R11" s="86">
        <v>0</v>
      </c>
      <c r="S11" s="83">
        <v>0</v>
      </c>
      <c r="T11" s="84">
        <v>0</v>
      </c>
      <c r="U11" s="84">
        <v>0</v>
      </c>
      <c r="V11" s="84">
        <v>0</v>
      </c>
      <c r="W11" s="84">
        <f>'BenchBalanced-1995'!M55</f>
        <v>980619.21509131265</v>
      </c>
      <c r="X11" s="84">
        <v>0</v>
      </c>
      <c r="Y11" s="84">
        <v>0</v>
      </c>
      <c r="Z11" s="87">
        <v>0</v>
      </c>
      <c r="AA11" s="62"/>
      <c r="AB11" s="62">
        <f t="shared" si="0"/>
        <v>7221081.9659720603</v>
      </c>
      <c r="AC11" s="62">
        <f>'BenchmarkIOMatrix-1995'!E35-'Alt2-Balanced-Trd'!AC12</f>
        <v>6339025.8343123877</v>
      </c>
      <c r="AD11" s="2"/>
      <c r="AE11" s="13"/>
    </row>
    <row r="12" spans="1:31" x14ac:dyDescent="0.25">
      <c r="A12" s="161"/>
      <c r="B12" s="78" t="s">
        <v>20</v>
      </c>
      <c r="C12" s="83">
        <v>0</v>
      </c>
      <c r="D12" s="84">
        <f>'BenchBalanced-1995'!C55</f>
        <v>88197.078054740763</v>
      </c>
      <c r="E12" s="84">
        <v>0</v>
      </c>
      <c r="F12" s="84">
        <f>'BenchBalanced-1995'!D55</f>
        <v>242652.30041768891</v>
      </c>
      <c r="G12" s="84">
        <v>0</v>
      </c>
      <c r="H12" s="84">
        <v>0</v>
      </c>
      <c r="I12" s="84">
        <v>0</v>
      </c>
      <c r="J12" s="86">
        <f>'BenchBalanced-1995'!F55</f>
        <v>91126.803253930571</v>
      </c>
      <c r="K12" s="83">
        <v>0</v>
      </c>
      <c r="L12" s="84">
        <f>'BenchBalanced-1995'!G55</f>
        <v>63645.30258842359</v>
      </c>
      <c r="M12" s="84">
        <v>0</v>
      </c>
      <c r="N12" s="84">
        <f>'BenchBalanced-1995'!H37</f>
        <v>127033.00564506746</v>
      </c>
      <c r="O12" s="84">
        <v>0</v>
      </c>
      <c r="P12" s="84">
        <v>0</v>
      </c>
      <c r="Q12" s="84">
        <v>0</v>
      </c>
      <c r="R12" s="86">
        <f>'BenchBalanced-1995'!J55</f>
        <v>19498.494512924408</v>
      </c>
      <c r="S12" s="83">
        <v>0</v>
      </c>
      <c r="T12" s="84">
        <f>'BenchBalanced-1995'!K55</f>
        <v>28514.123072725586</v>
      </c>
      <c r="U12" s="84">
        <v>0</v>
      </c>
      <c r="V12" s="84">
        <f>'BenchBalanced-1995'!L55</f>
        <v>29816.162874936439</v>
      </c>
      <c r="W12" s="84">
        <v>0</v>
      </c>
      <c r="X12" s="84">
        <v>0</v>
      </c>
      <c r="Y12" s="84">
        <v>0</v>
      </c>
      <c r="Z12" s="87">
        <f>'BenchBalanced-1995'!N55</f>
        <v>21478.597454459115</v>
      </c>
      <c r="AA12" s="62"/>
      <c r="AB12" s="62">
        <f t="shared" si="0"/>
        <v>711961.86787489709</v>
      </c>
      <c r="AC12" s="62">
        <f>E37</f>
        <v>1594017.9995339911</v>
      </c>
      <c r="AD12" s="48"/>
      <c r="AE12" s="77"/>
    </row>
    <row r="13" spans="1:31" x14ac:dyDescent="0.25">
      <c r="A13" s="161"/>
      <c r="B13" s="78" t="s">
        <v>17</v>
      </c>
      <c r="C13" s="83">
        <v>0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f>'BenchBalanced-1995'!F56</f>
        <v>2305743.3074151571</v>
      </c>
      <c r="J13" s="86">
        <v>0</v>
      </c>
      <c r="K13" s="83">
        <v>0</v>
      </c>
      <c r="L13" s="84">
        <v>0</v>
      </c>
      <c r="M13" s="84">
        <v>0</v>
      </c>
      <c r="N13" s="84">
        <v>0</v>
      </c>
      <c r="O13" s="84">
        <v>0</v>
      </c>
      <c r="P13" s="84">
        <v>0</v>
      </c>
      <c r="Q13" s="84">
        <f>'BenchBalanced-1995'!J38</f>
        <v>2153103.2051918283</v>
      </c>
      <c r="R13" s="86">
        <v>0</v>
      </c>
      <c r="S13" s="83">
        <v>0</v>
      </c>
      <c r="T13" s="84">
        <v>0</v>
      </c>
      <c r="U13" s="84">
        <v>0</v>
      </c>
      <c r="V13" s="84">
        <v>0</v>
      </c>
      <c r="W13" s="84">
        <v>0</v>
      </c>
      <c r="X13" s="84">
        <v>0</v>
      </c>
      <c r="Y13" s="84">
        <f>'BenchBalanced-1995'!N56</f>
        <v>674224.10894861992</v>
      </c>
      <c r="Z13" s="87">
        <v>0</v>
      </c>
      <c r="AA13" s="62"/>
      <c r="AB13" s="62">
        <f t="shared" si="0"/>
        <v>5133070.6215556059</v>
      </c>
      <c r="AC13" s="62">
        <f>'BenchmarkIOMatrix-1995'!F35-'Alt2-Balanced-Trd'!AC14</f>
        <v>4582028.2078729868</v>
      </c>
      <c r="AD13" s="2"/>
      <c r="AE13" s="77"/>
    </row>
    <row r="14" spans="1:31" x14ac:dyDescent="0.25">
      <c r="A14" s="161"/>
      <c r="B14" s="78" t="s">
        <v>21</v>
      </c>
      <c r="C14" s="83">
        <v>0</v>
      </c>
      <c r="D14" s="84">
        <f>'BenchBalanced-1995'!C56</f>
        <v>119224.09972909895</v>
      </c>
      <c r="E14" s="84">
        <v>0</v>
      </c>
      <c r="F14" s="84">
        <f>'BenchBalanced-1995'!D56</f>
        <v>341936.32484405226</v>
      </c>
      <c r="G14" s="84">
        <v>0</v>
      </c>
      <c r="H14" s="84">
        <f>'BenchBalanced-1995'!E56</f>
        <v>135868.45621229213</v>
      </c>
      <c r="I14" s="84">
        <v>0</v>
      </c>
      <c r="J14" s="86">
        <v>0</v>
      </c>
      <c r="K14" s="83">
        <v>0</v>
      </c>
      <c r="L14" s="84">
        <f>'BenchBalanced-1995'!G38</f>
        <v>53722.288216557616</v>
      </c>
      <c r="M14" s="84">
        <v>0</v>
      </c>
      <c r="N14" s="84">
        <f>'BenchBalanced-1995'!H38</f>
        <v>117496.66323124441</v>
      </c>
      <c r="O14" s="84">
        <v>0</v>
      </c>
      <c r="P14" s="84">
        <f>'BenchBalanced-1995'!I38</f>
        <v>33124.6619536082</v>
      </c>
      <c r="Q14" s="84">
        <v>0</v>
      </c>
      <c r="R14" s="86">
        <v>0</v>
      </c>
      <c r="S14" s="83">
        <v>0</v>
      </c>
      <c r="T14" s="84">
        <f>'BenchBalanced-1995'!K56</f>
        <v>25289.878649303475</v>
      </c>
      <c r="U14" s="84">
        <v>0</v>
      </c>
      <c r="V14" s="84">
        <f>'BenchBalanced-1995'!L56</f>
        <v>32790.222979128266</v>
      </c>
      <c r="W14" s="84">
        <v>0</v>
      </c>
      <c r="X14" s="84">
        <f>'BenchBalanced-1995'!M56</f>
        <v>10773.518508816824</v>
      </c>
      <c r="Y14" s="84">
        <v>0</v>
      </c>
      <c r="Z14" s="87">
        <v>0</v>
      </c>
      <c r="AA14" s="62"/>
      <c r="AB14" s="62">
        <f t="shared" si="0"/>
        <v>870226.11432410206</v>
      </c>
      <c r="AC14" s="62">
        <f>F37</f>
        <v>1421268.5280064959</v>
      </c>
      <c r="AD14" s="48"/>
      <c r="AE14" s="77"/>
    </row>
    <row r="15" spans="1:31" x14ac:dyDescent="0.25">
      <c r="A15" s="14"/>
      <c r="B15" s="7" t="s">
        <v>2</v>
      </c>
      <c r="C15" s="91">
        <f>'BenchBalanced-1995'!C57</f>
        <v>7449828.5891831769</v>
      </c>
      <c r="D15" s="92">
        <v>0</v>
      </c>
      <c r="E15" s="92">
        <f>'BenchBalanced-1995'!D57</f>
        <v>14763270.907539135</v>
      </c>
      <c r="F15" s="92">
        <v>0</v>
      </c>
      <c r="G15" s="92">
        <f>'BenchBalanced-1995'!E57</f>
        <v>3845397.4757382986</v>
      </c>
      <c r="H15" s="92">
        <v>0</v>
      </c>
      <c r="I15" s="92">
        <f>'BenchBalanced-1995'!F57</f>
        <v>3100061.9108391204</v>
      </c>
      <c r="J15" s="93">
        <v>0</v>
      </c>
      <c r="K15" s="91">
        <v>0</v>
      </c>
      <c r="L15" s="92">
        <v>0</v>
      </c>
      <c r="M15" s="92">
        <v>0</v>
      </c>
      <c r="N15" s="92">
        <v>0</v>
      </c>
      <c r="O15" s="92">
        <v>0</v>
      </c>
      <c r="P15" s="92">
        <v>0</v>
      </c>
      <c r="Q15" s="92">
        <v>0</v>
      </c>
      <c r="R15" s="93">
        <v>0</v>
      </c>
      <c r="S15" s="91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4">
        <v>0</v>
      </c>
      <c r="AA15" s="62"/>
      <c r="AB15" s="62">
        <f t="shared" si="0"/>
        <v>29158558.883299731</v>
      </c>
      <c r="AC15" s="62">
        <f>AB15</f>
        <v>29158558.883299731</v>
      </c>
      <c r="AD15" s="48"/>
      <c r="AE15" s="13"/>
    </row>
    <row r="16" spans="1:31" x14ac:dyDescent="0.25">
      <c r="A16" s="57"/>
      <c r="B16" s="79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71">
        <f>SUM(AB7:AB15)</f>
        <v>84340867.423234731</v>
      </c>
      <c r="AC16" s="71">
        <f>SUM(AC7:AC15)</f>
        <v>84340867.423234493</v>
      </c>
      <c r="AD16" s="2"/>
      <c r="AE16" s="13"/>
    </row>
    <row r="17" spans="1:31" x14ac:dyDescent="0.25">
      <c r="A17" s="57"/>
      <c r="B17" s="80" t="s">
        <v>28</v>
      </c>
      <c r="C17" s="62">
        <f>SUM(C7:C15)</f>
        <v>13034672.67807702</v>
      </c>
      <c r="D17" s="62">
        <f t="shared" ref="D17:Z17" si="1">SUM(D7:D15)</f>
        <v>440540.25999446376</v>
      </c>
      <c r="E17" s="62">
        <f t="shared" si="1"/>
        <v>26930886.751341395</v>
      </c>
      <c r="F17" s="62">
        <f t="shared" si="1"/>
        <v>839868.28079603729</v>
      </c>
      <c r="G17" s="62">
        <f t="shared" si="1"/>
        <v>7464324.3449468575</v>
      </c>
      <c r="H17" s="62">
        <f t="shared" si="1"/>
        <v>468719.48889952077</v>
      </c>
      <c r="I17" s="62">
        <f t="shared" si="1"/>
        <v>5405805.2182542775</v>
      </c>
      <c r="J17" s="62">
        <f t="shared" si="1"/>
        <v>597491.5176252051</v>
      </c>
      <c r="K17" s="62">
        <f t="shared" si="1"/>
        <v>5867262.4424776854</v>
      </c>
      <c r="L17" s="62">
        <f t="shared" si="1"/>
        <v>202013.96304154125</v>
      </c>
      <c r="M17" s="62">
        <f t="shared" si="1"/>
        <v>11025058.379034571</v>
      </c>
      <c r="N17" s="62">
        <f t="shared" si="1"/>
        <v>338202.77255415131</v>
      </c>
      <c r="O17" s="62">
        <f t="shared" si="1"/>
        <v>2621535.8816721882</v>
      </c>
      <c r="P17" s="62">
        <f t="shared" si="1"/>
        <v>129926.50233979909</v>
      </c>
      <c r="Q17" s="62">
        <f t="shared" si="1"/>
        <v>2153103.2051918283</v>
      </c>
      <c r="R17" s="62">
        <f t="shared" si="1"/>
        <v>124974.16827219768</v>
      </c>
      <c r="S17" s="62">
        <f t="shared" si="1"/>
        <v>1228430.404399208</v>
      </c>
      <c r="T17" s="62">
        <f t="shared" si="1"/>
        <v>152121.77926978085</v>
      </c>
      <c r="U17" s="62">
        <f t="shared" si="1"/>
        <v>3279969.7532823854</v>
      </c>
      <c r="V17" s="62">
        <f t="shared" si="1"/>
        <v>120040.00266361382</v>
      </c>
      <c r="W17" s="62">
        <f t="shared" si="1"/>
        <v>980619.21509131265</v>
      </c>
      <c r="X17" s="62">
        <f t="shared" si="1"/>
        <v>113315.87663469023</v>
      </c>
      <c r="Y17" s="62">
        <f t="shared" si="1"/>
        <v>674224.10894861992</v>
      </c>
      <c r="Z17" s="62">
        <f t="shared" si="1"/>
        <v>147760.42842637905</v>
      </c>
      <c r="AA17" s="71">
        <f>SUM(C17:Z17)</f>
        <v>84340867.423234731</v>
      </c>
      <c r="AB17" s="62"/>
      <c r="AC17" s="62"/>
      <c r="AD17" s="2"/>
      <c r="AE17" s="13"/>
    </row>
    <row r="18" spans="1:31" x14ac:dyDescent="0.25">
      <c r="A18" s="57"/>
      <c r="B18" s="80" t="s">
        <v>40</v>
      </c>
      <c r="C18" s="62">
        <f>'BenchmarkIOMatrix-1995'!C35-'Alt2-Balanced-Trd'!C44</f>
        <v>12984617.525498157</v>
      </c>
      <c r="D18" s="62">
        <f>C44</f>
        <v>490595.41257332568</v>
      </c>
      <c r="E18" s="62">
        <f>'BenchmarkIOMatrix-1995'!D35-'Alt2-Balanced-Trd'!D44</f>
        <v>26611762.681139134</v>
      </c>
      <c r="F18" s="62">
        <f>D44</f>
        <v>1158992.3509982964</v>
      </c>
      <c r="G18" s="62">
        <f>'BenchmarkIOMatrix-1995'!E35-'Alt2-Balanced-Trd'!E44</f>
        <v>6883623.4424582133</v>
      </c>
      <c r="H18" s="62">
        <f>E44</f>
        <v>1049420.3913881655</v>
      </c>
      <c r="I18" s="62">
        <f>'BenchmarkIOMatrix-1995'!F35-'Alt2-Balanced-Trd'!F44</f>
        <v>5027463.1269200137</v>
      </c>
      <c r="J18" s="62">
        <f>F44</f>
        <v>975833.60895946866</v>
      </c>
      <c r="K18" s="62">
        <f>C56</f>
        <v>5844309.1720019476</v>
      </c>
      <c r="L18" s="62">
        <f>C45</f>
        <v>224967.23351727935</v>
      </c>
      <c r="M18" s="62">
        <f>D56</f>
        <v>10896551.745555244</v>
      </c>
      <c r="N18" s="62">
        <f>D45</f>
        <v>466709.4060334792</v>
      </c>
      <c r="O18" s="62">
        <f>E56</f>
        <v>2460568.7383109094</v>
      </c>
      <c r="P18" s="62">
        <f>E45</f>
        <v>290893.64570107765</v>
      </c>
      <c r="Q18" s="62">
        <f>F56</f>
        <v>2073967.3734819577</v>
      </c>
      <c r="R18" s="62">
        <f>F45</f>
        <v>204109.99998206832</v>
      </c>
      <c r="S18" s="62">
        <f>C57</f>
        <v>1211145.9934988001</v>
      </c>
      <c r="T18" s="62">
        <f>C46</f>
        <v>169406.19017018875</v>
      </c>
      <c r="U18" s="62">
        <f>D57</f>
        <v>3234358.2507253494</v>
      </c>
      <c r="V18" s="62">
        <f>D46</f>
        <v>165651.50522065032</v>
      </c>
      <c r="W18" s="62">
        <f>E57</f>
        <v>840231.12928214227</v>
      </c>
      <c r="X18" s="62">
        <f>E46</f>
        <v>253703.96244386074</v>
      </c>
      <c r="Y18" s="62">
        <f>F57</f>
        <v>580659.61831036035</v>
      </c>
      <c r="Z18" s="62">
        <f>F46</f>
        <v>241324.91906463855</v>
      </c>
      <c r="AA18" s="71">
        <f>SUM(C18:Z18)</f>
        <v>84340867.423234746</v>
      </c>
      <c r="AB18" s="62"/>
      <c r="AC18" s="62"/>
      <c r="AD18" s="2"/>
      <c r="AE18" s="13"/>
    </row>
    <row r="19" spans="1:31" x14ac:dyDescent="0.25">
      <c r="A19" s="81"/>
      <c r="B19" s="82"/>
      <c r="C19" s="82"/>
      <c r="D19" s="82"/>
      <c r="E19" s="82"/>
      <c r="F19" s="82"/>
      <c r="G19" s="20"/>
      <c r="H19" s="82"/>
      <c r="I19" s="82"/>
      <c r="J19" s="82"/>
      <c r="K19" s="82"/>
      <c r="L19" s="82"/>
      <c r="M19" s="82"/>
      <c r="N19" s="82"/>
      <c r="O19" s="20"/>
      <c r="P19" s="20"/>
      <c r="Q19" s="82"/>
      <c r="R19" s="20"/>
      <c r="S19" s="82"/>
      <c r="T19" s="82"/>
      <c r="U19" s="82"/>
      <c r="V19" s="82"/>
      <c r="W19" s="20"/>
      <c r="X19" s="20"/>
      <c r="Y19" s="82"/>
      <c r="Z19" s="20"/>
      <c r="AA19" s="20"/>
      <c r="AB19" s="20"/>
      <c r="AC19" s="20"/>
      <c r="AD19" s="20"/>
      <c r="AE19" s="21"/>
    </row>
    <row r="20" spans="1:31" x14ac:dyDescent="0.25">
      <c r="A20" s="7"/>
      <c r="B20" s="5"/>
      <c r="C20" s="5"/>
      <c r="D20" s="5"/>
      <c r="E20" s="5"/>
      <c r="F20" s="5"/>
      <c r="H20" s="5"/>
      <c r="I20" s="5"/>
      <c r="J20" s="5"/>
      <c r="K20" s="5"/>
      <c r="L20" s="5"/>
      <c r="M20" s="5"/>
      <c r="N20" s="5"/>
      <c r="Q20" s="5"/>
      <c r="S20" s="5"/>
      <c r="T20" s="5"/>
      <c r="U20" s="5"/>
      <c r="V20" s="5"/>
      <c r="Y20" s="5"/>
    </row>
    <row r="21" spans="1:31" x14ac:dyDescent="0.25">
      <c r="A21" s="59" t="s">
        <v>83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6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31" x14ac:dyDescent="0.25">
      <c r="A22" s="57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31" x14ac:dyDescent="0.25">
      <c r="A23" s="57"/>
      <c r="B23" s="79"/>
      <c r="C23" s="80" t="s">
        <v>7</v>
      </c>
      <c r="D23" s="80" t="s">
        <v>8</v>
      </c>
      <c r="E23" s="80" t="s">
        <v>9</v>
      </c>
      <c r="F23" s="80" t="s">
        <v>0</v>
      </c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31" x14ac:dyDescent="0.25">
      <c r="A24" s="57"/>
      <c r="B24" s="79"/>
      <c r="C24" s="79"/>
      <c r="D24" s="79"/>
      <c r="E24" s="79"/>
      <c r="F24" s="79"/>
      <c r="G24" s="79"/>
      <c r="H24" s="79"/>
      <c r="I24" s="79"/>
      <c r="J24" s="79"/>
      <c r="K24" s="79"/>
      <c r="L24" s="77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31" x14ac:dyDescent="0.25">
      <c r="A25" s="57"/>
      <c r="B25" s="97" t="s">
        <v>144</v>
      </c>
      <c r="C25" s="79"/>
      <c r="D25" s="79"/>
      <c r="E25" s="79"/>
      <c r="F25" s="79"/>
      <c r="G25" s="79"/>
      <c r="H25" s="79"/>
      <c r="I25" s="79"/>
      <c r="J25" s="79"/>
      <c r="K25" s="79"/>
      <c r="L25" s="77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31" x14ac:dyDescent="0.25">
      <c r="A26" s="57"/>
      <c r="B26" s="80" t="s">
        <v>88</v>
      </c>
      <c r="C26" s="79">
        <f>'BenchBalanced-1995'!C57</f>
        <v>7449828.5891831769</v>
      </c>
      <c r="D26" s="79">
        <f>'BenchBalanced-1995'!D57</f>
        <v>14763270.907539135</v>
      </c>
      <c r="E26" s="79">
        <f>'BenchBalanced-1995'!E57</f>
        <v>3845397.4757382986</v>
      </c>
      <c r="F26" s="79">
        <f>'BenchBalanced-1995'!F57</f>
        <v>3100061.9108391204</v>
      </c>
      <c r="G26" s="79"/>
      <c r="H26" s="79"/>
      <c r="I26" s="79"/>
      <c r="J26" s="79"/>
      <c r="K26" s="79"/>
      <c r="L26" s="77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31" x14ac:dyDescent="0.25">
      <c r="A27" s="57"/>
      <c r="B27" s="7" t="s">
        <v>143</v>
      </c>
      <c r="C27" s="114">
        <f>('BenchBalanced-2011'!C69+'BenchBalanced-2011'!C70)/SUM('BenchBalanced-2011'!C65:F65)</f>
        <v>6.0700450923939907E-2</v>
      </c>
      <c r="D27" s="114">
        <f>('BenchBalanced-2011'!D69+'BenchBalanced-2011'!D70)/SUM('BenchBalanced-2011'!C65:F65)</f>
        <v>0.12286980775886847</v>
      </c>
      <c r="E27" s="114">
        <f>('BenchBalanced-2011'!E69+'BenchBalanced-2011'!E70)/SUM('BenchBalanced-2011'!C65:F65)</f>
        <v>0.10933448432161751</v>
      </c>
      <c r="F27" s="114">
        <f>('BenchBalanced-2011'!F69+'BenchBalanced-2011'!F70)/SUM('BenchBalanced-2011'!C65:F65)</f>
        <v>9.7485512483290307E-2</v>
      </c>
      <c r="G27" s="79"/>
      <c r="H27" s="79"/>
      <c r="I27" s="79"/>
      <c r="J27" s="79"/>
      <c r="K27" s="2"/>
      <c r="L27" s="13"/>
      <c r="M27" s="5"/>
      <c r="N27" s="5"/>
      <c r="O27" s="5"/>
      <c r="P27" s="5"/>
      <c r="Q27" s="5"/>
      <c r="R27" s="5"/>
      <c r="U27" s="5"/>
      <c r="V27" s="5"/>
      <c r="W27" s="5"/>
      <c r="X27" s="5"/>
      <c r="Y27" s="5"/>
      <c r="Z27" s="5"/>
    </row>
    <row r="28" spans="1:31" x14ac:dyDescent="0.25">
      <c r="A28" s="57"/>
      <c r="B28" s="7" t="s">
        <v>118</v>
      </c>
      <c r="C28" s="114">
        <f>C27*SUM($C26:$F26)</f>
        <v>1769937.6725085473</v>
      </c>
      <c r="D28" s="114">
        <f t="shared" ref="D28:F28" si="2">D27*SUM($C26:$F26)</f>
        <v>3582706.5245166845</v>
      </c>
      <c r="E28" s="114">
        <f t="shared" si="2"/>
        <v>3188035.9990670951</v>
      </c>
      <c r="F28" s="114">
        <f t="shared" si="2"/>
        <v>2842537.0560126714</v>
      </c>
      <c r="G28" s="2"/>
      <c r="H28" s="2"/>
      <c r="I28" s="2"/>
      <c r="J28" s="2"/>
      <c r="K28" s="2"/>
      <c r="L28" s="13"/>
    </row>
    <row r="29" spans="1:31" x14ac:dyDescent="0.25">
      <c r="A29" s="98"/>
      <c r="B29" s="79"/>
      <c r="C29" s="79"/>
      <c r="D29" s="79"/>
      <c r="E29" s="79"/>
      <c r="F29" s="79"/>
      <c r="G29" s="79"/>
      <c r="H29" s="79"/>
      <c r="I29" s="79"/>
      <c r="J29" s="79"/>
      <c r="K29" s="79"/>
      <c r="L29" s="77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31" x14ac:dyDescent="0.25">
      <c r="A30" s="98"/>
      <c r="B30" s="97" t="s">
        <v>124</v>
      </c>
      <c r="C30" s="79"/>
      <c r="D30" s="79"/>
      <c r="E30" s="79"/>
      <c r="F30" s="79"/>
      <c r="G30" s="2"/>
      <c r="H30" s="2"/>
      <c r="I30" s="2"/>
      <c r="J30" s="2"/>
      <c r="K30" s="79"/>
      <c r="L30" s="77"/>
      <c r="M30" s="5"/>
      <c r="N30" s="5"/>
      <c r="S30" s="5"/>
      <c r="T30" s="5"/>
      <c r="U30" s="5"/>
      <c r="V30" s="5"/>
    </row>
    <row r="31" spans="1:31" x14ac:dyDescent="0.25">
      <c r="A31" s="14"/>
      <c r="B31" s="43" t="s">
        <v>123</v>
      </c>
      <c r="C31" s="122">
        <f>'BenchBalanced-1995'!C71</f>
        <v>-1.3040262274444103E-5</v>
      </c>
      <c r="D31" s="122">
        <f>'BenchBalanced-1995'!D71</f>
        <v>1.1833151802420616E-5</v>
      </c>
      <c r="E31" s="122">
        <f>'BenchBalanced-1995'!E71</f>
        <v>8.8708475232124329E-7</v>
      </c>
      <c r="F31" s="122">
        <f>'BenchBalanced-1995'!F71</f>
        <v>3.2025855034589767E-7</v>
      </c>
      <c r="G31" s="99"/>
      <c r="H31" s="99"/>
      <c r="I31" s="100"/>
      <c r="J31" s="99"/>
      <c r="K31" s="99"/>
      <c r="L31" s="101"/>
      <c r="M31" s="4"/>
      <c r="N31" s="4"/>
      <c r="O31" s="4"/>
      <c r="P31" s="4"/>
      <c r="Q31" s="1"/>
      <c r="R31" s="4"/>
      <c r="S31" s="4"/>
      <c r="T31" s="4"/>
      <c r="U31" s="4"/>
      <c r="V31" s="4"/>
      <c r="W31" s="4"/>
      <c r="X31" s="4"/>
      <c r="Y31" s="1"/>
      <c r="Z31" s="4"/>
    </row>
    <row r="32" spans="1:31" x14ac:dyDescent="0.25">
      <c r="A32" s="57"/>
      <c r="B32" s="43" t="s">
        <v>120</v>
      </c>
      <c r="C32" s="114">
        <f>(C28-C31)/2</f>
        <v>884968.83626079373</v>
      </c>
      <c r="D32" s="114">
        <f t="shared" ref="D32:F32" si="3">(D28-D31)/2</f>
        <v>1791353.2622524258</v>
      </c>
      <c r="E32" s="114">
        <f t="shared" si="3"/>
        <v>1594017.999533104</v>
      </c>
      <c r="F32" s="114">
        <f t="shared" si="3"/>
        <v>1421268.5280061755</v>
      </c>
      <c r="G32" s="138"/>
      <c r="H32" s="2"/>
      <c r="I32" s="2"/>
      <c r="J32" s="2"/>
      <c r="K32" s="2"/>
      <c r="L32" s="13"/>
    </row>
    <row r="33" spans="1:26" x14ac:dyDescent="0.25">
      <c r="A33" s="57"/>
      <c r="B33" s="43" t="s">
        <v>121</v>
      </c>
      <c r="C33" s="114">
        <f>C28-C32</f>
        <v>884968.83624775358</v>
      </c>
      <c r="D33" s="114">
        <f t="shared" ref="D33:F33" si="4">D28-D32</f>
        <v>1791353.2622642587</v>
      </c>
      <c r="E33" s="114">
        <f t="shared" si="4"/>
        <v>1594017.9995339911</v>
      </c>
      <c r="F33" s="114">
        <f t="shared" si="4"/>
        <v>1421268.5280064959</v>
      </c>
      <c r="G33" s="2"/>
      <c r="H33" s="2"/>
      <c r="I33" s="2"/>
      <c r="J33" s="2"/>
      <c r="K33" s="2"/>
      <c r="L33" s="13"/>
    </row>
    <row r="34" spans="1:26" x14ac:dyDescent="0.25">
      <c r="A34" s="57"/>
      <c r="B34" s="43" t="s">
        <v>122</v>
      </c>
      <c r="C34" s="114">
        <f>C33-C32</f>
        <v>-1.3040145859122276E-5</v>
      </c>
      <c r="D34" s="114">
        <f t="shared" ref="D34:F34" si="5">D33-D32</f>
        <v>1.1832918971776962E-5</v>
      </c>
      <c r="E34" s="114">
        <f t="shared" si="5"/>
        <v>8.8708475232124329E-7</v>
      </c>
      <c r="F34" s="114">
        <f t="shared" si="5"/>
        <v>3.2037496566772461E-7</v>
      </c>
      <c r="G34" s="2"/>
      <c r="H34" s="2"/>
      <c r="I34" s="2"/>
      <c r="J34" s="2"/>
      <c r="K34" s="2"/>
      <c r="L34" s="13"/>
    </row>
    <row r="35" spans="1:26" x14ac:dyDescent="0.25">
      <c r="A35" s="57"/>
      <c r="B35" s="43" t="s">
        <v>125</v>
      </c>
      <c r="C35" s="114">
        <f>-C26/SUM($C$26:$F$26)*SUM($C$34:$F$34)</f>
        <v>-5.9486766560468244E-11</v>
      </c>
      <c r="D35" s="114">
        <f t="shared" ref="D35:F35" si="6">-D26/SUM($C$26:$F$26)*SUM($C$34:$F$34)</f>
        <v>-1.1788449084867111E-10</v>
      </c>
      <c r="E35" s="114">
        <f t="shared" si="6"/>
        <v>-3.0705439626301378E-11</v>
      </c>
      <c r="F35" s="114">
        <f t="shared" si="6"/>
        <v>-2.4753946618428901E-11</v>
      </c>
      <c r="G35" s="2"/>
      <c r="H35" s="2"/>
      <c r="I35" s="2"/>
      <c r="J35" s="2"/>
      <c r="K35" s="2"/>
      <c r="L35" s="13"/>
    </row>
    <row r="36" spans="1:26" x14ac:dyDescent="0.25">
      <c r="A36" s="57"/>
      <c r="B36" s="43" t="s">
        <v>126</v>
      </c>
      <c r="C36" s="114">
        <f>C32-C$35*(C32/(C$32+C$33))</f>
        <v>884968.83626079373</v>
      </c>
      <c r="D36" s="114">
        <f t="shared" ref="D36:F36" si="7">D32-D$35*(D32/(D$32+D$33))</f>
        <v>1791353.2622524258</v>
      </c>
      <c r="E36" s="114">
        <f t="shared" si="7"/>
        <v>1594017.999533104</v>
      </c>
      <c r="F36" s="114">
        <f t="shared" si="7"/>
        <v>1421268.5280061755</v>
      </c>
      <c r="G36" s="2"/>
      <c r="H36" s="2"/>
      <c r="I36" s="2"/>
      <c r="J36" s="2"/>
      <c r="K36" s="2"/>
      <c r="L36" s="13"/>
    </row>
    <row r="37" spans="1:26" x14ac:dyDescent="0.25">
      <c r="A37" s="57"/>
      <c r="B37" s="43" t="s">
        <v>127</v>
      </c>
      <c r="C37" s="114">
        <f>C33+C$35*(C33/(C$32+C$33))</f>
        <v>884968.83624775358</v>
      </c>
      <c r="D37" s="114">
        <f t="shared" ref="D37:F37" si="8">D33+D$35*(D33/(D$32+D$33))</f>
        <v>1791353.2622642587</v>
      </c>
      <c r="E37" s="114">
        <f t="shared" si="8"/>
        <v>1594017.9995339911</v>
      </c>
      <c r="F37" s="114">
        <f t="shared" si="8"/>
        <v>1421268.5280064959</v>
      </c>
      <c r="G37" s="2"/>
      <c r="H37" s="2"/>
      <c r="I37" s="2"/>
      <c r="J37" s="2"/>
      <c r="K37" s="2"/>
      <c r="L37" s="13"/>
    </row>
    <row r="38" spans="1:26" x14ac:dyDescent="0.25">
      <c r="A38" s="57"/>
      <c r="B38" s="43" t="s">
        <v>128</v>
      </c>
      <c r="C38" s="114">
        <f>C37-C36</f>
        <v>-1.3040145859122276E-5</v>
      </c>
      <c r="D38" s="114">
        <f t="shared" ref="D38:F38" si="9">D37-D36</f>
        <v>1.1832918971776962E-5</v>
      </c>
      <c r="E38" s="114">
        <f t="shared" si="9"/>
        <v>8.8708475232124329E-7</v>
      </c>
      <c r="F38" s="114">
        <f t="shared" si="9"/>
        <v>3.2037496566772461E-7</v>
      </c>
      <c r="G38" s="2"/>
      <c r="H38" s="2"/>
      <c r="I38" s="2"/>
      <c r="J38" s="2"/>
      <c r="K38" s="2"/>
      <c r="L38" s="13"/>
    </row>
    <row r="39" spans="1:26" x14ac:dyDescent="0.25">
      <c r="A39" s="14"/>
      <c r="B39" s="43"/>
      <c r="C39" s="138"/>
      <c r="D39" s="138"/>
      <c r="E39" s="138"/>
      <c r="F39" s="138"/>
      <c r="G39" s="2"/>
      <c r="H39" s="2"/>
      <c r="I39" s="2"/>
      <c r="J39" s="2"/>
      <c r="K39" s="2"/>
      <c r="L39" s="13"/>
    </row>
    <row r="40" spans="1:26" x14ac:dyDescent="0.25">
      <c r="A40" s="14"/>
      <c r="B40" s="44" t="s">
        <v>129</v>
      </c>
      <c r="C40" s="43"/>
      <c r="D40" s="43"/>
      <c r="E40" s="43"/>
      <c r="F40" s="43"/>
      <c r="G40" s="8"/>
      <c r="H40" s="8"/>
      <c r="I40" s="8"/>
      <c r="J40" s="8"/>
      <c r="K40" s="8"/>
      <c r="L40" s="13"/>
      <c r="O40" s="156"/>
      <c r="P40" s="156"/>
      <c r="Q40" s="156"/>
      <c r="R40" s="156"/>
      <c r="S40" s="8"/>
      <c r="W40" s="156"/>
      <c r="X40" s="156"/>
      <c r="Y40" s="156"/>
      <c r="Z40" s="156"/>
    </row>
    <row r="41" spans="1:26" x14ac:dyDescent="0.25">
      <c r="A41" s="14"/>
      <c r="B41" s="43" t="s">
        <v>130</v>
      </c>
      <c r="C41" s="45">
        <f>'BenchBalanced-1995'!C80/'BenchBalanced-1995'!C70</f>
        <v>0.5543646199409793</v>
      </c>
      <c r="D41" s="45">
        <f>'BenchBalanced-1995'!D80/'BenchBalanced-1995'!D70</f>
        <v>0.64699262586598549</v>
      </c>
      <c r="E41" s="45">
        <f>'BenchBalanced-1995'!E80/'BenchBalanced-1995'!E70</f>
        <v>0.65834914768562602</v>
      </c>
      <c r="F41" s="45">
        <f>'BenchBalanced-1995'!F80/'BenchBalanced-1995'!F70</f>
        <v>0.68659341266665164</v>
      </c>
      <c r="G41" s="12"/>
      <c r="H41" s="12"/>
      <c r="I41" s="12"/>
      <c r="J41" s="12"/>
      <c r="K41" s="12"/>
      <c r="L41" s="105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x14ac:dyDescent="0.25">
      <c r="A42" s="57"/>
      <c r="B42" s="43" t="s">
        <v>131</v>
      </c>
      <c r="C42" s="45">
        <f>'BenchBalanced-1995'!C100/'BenchBalanced-1995'!C70</f>
        <v>0.2542092153977083</v>
      </c>
      <c r="D42" s="45">
        <f>'BenchBalanced-1995'!D100/'BenchBalanced-1995'!D70</f>
        <v>0.26053454439614243</v>
      </c>
      <c r="E42" s="45">
        <f>'BenchBalanced-1995'!E100/'BenchBalanced-1995'!E70</f>
        <v>0.18249081615532689</v>
      </c>
      <c r="F42" s="45">
        <f>'BenchBalanced-1995'!F100/'BenchBalanced-1995'!F70</f>
        <v>0.14361114452340948</v>
      </c>
      <c r="G42" s="2"/>
      <c r="H42" s="2"/>
      <c r="I42" s="79"/>
      <c r="J42" s="2"/>
      <c r="K42" s="79"/>
      <c r="L42" s="77"/>
      <c r="M42" s="5"/>
      <c r="N42" s="5"/>
      <c r="Q42" s="5"/>
      <c r="S42" s="5"/>
      <c r="T42" s="5"/>
      <c r="U42" s="5"/>
      <c r="V42" s="5"/>
      <c r="Y42" s="5"/>
    </row>
    <row r="43" spans="1:26" x14ac:dyDescent="0.25">
      <c r="A43" s="57"/>
      <c r="B43" s="43" t="s">
        <v>132</v>
      </c>
      <c r="C43" s="45">
        <f>'BenchBalanced-1995'!C109/'BenchBalanced-1995'!C70</f>
        <v>0.19142616466131243</v>
      </c>
      <c r="D43" s="45">
        <f>'BenchBalanced-1995'!D109/'BenchBalanced-1995'!D70</f>
        <v>9.2472829737872103E-2</v>
      </c>
      <c r="E43" s="45">
        <f>'BenchBalanced-1995'!E109/'BenchBalanced-1995'!E70</f>
        <v>0.15916003615904709</v>
      </c>
      <c r="F43" s="45">
        <f>'BenchBalanced-1995'!F109/'BenchBalanced-1995'!F70</f>
        <v>0.16979544280993886</v>
      </c>
      <c r="G43" s="2"/>
      <c r="H43" s="2"/>
      <c r="I43" s="79"/>
      <c r="J43" s="2"/>
      <c r="K43" s="79"/>
      <c r="L43" s="77"/>
      <c r="M43" s="5"/>
      <c r="N43" s="5"/>
      <c r="Q43" s="5"/>
      <c r="S43" s="5"/>
      <c r="T43" s="5"/>
      <c r="U43" s="5"/>
      <c r="V43" s="5"/>
      <c r="Y43" s="5"/>
    </row>
    <row r="44" spans="1:26" x14ac:dyDescent="0.25">
      <c r="A44" s="57"/>
      <c r="B44" s="43" t="s">
        <v>133</v>
      </c>
      <c r="C44" s="143">
        <f>C41*C36</f>
        <v>490595.41257332568</v>
      </c>
      <c r="D44" s="143">
        <f t="shared" ref="D44:F44" si="10">D41*D36</f>
        <v>1158992.3509982964</v>
      </c>
      <c r="E44" s="143">
        <f t="shared" si="10"/>
        <v>1049420.3913881655</v>
      </c>
      <c r="F44" s="143">
        <f t="shared" si="10"/>
        <v>975833.60895946866</v>
      </c>
      <c r="G44" s="2"/>
      <c r="H44" s="79"/>
      <c r="I44" s="79"/>
      <c r="J44" s="79"/>
      <c r="K44" s="79"/>
      <c r="L44" s="77"/>
      <c r="M44" s="5"/>
      <c r="N44" s="5"/>
      <c r="P44" s="5"/>
      <c r="Q44" s="5"/>
      <c r="R44" s="5"/>
      <c r="S44" s="5"/>
      <c r="T44" s="5"/>
      <c r="U44" s="5"/>
      <c r="V44" s="5"/>
      <c r="X44" s="5"/>
      <c r="Y44" s="5"/>
      <c r="Z44" s="5"/>
    </row>
    <row r="45" spans="1:26" x14ac:dyDescent="0.25">
      <c r="A45" s="57"/>
      <c r="B45" s="106" t="s">
        <v>134</v>
      </c>
      <c r="C45" s="143">
        <f>C42*C36</f>
        <v>224967.23351727935</v>
      </c>
      <c r="D45" s="143">
        <f t="shared" ref="D45:F45" si="11">D42*D36</f>
        <v>466709.4060334792</v>
      </c>
      <c r="E45" s="143">
        <f t="shared" si="11"/>
        <v>290893.64570107765</v>
      </c>
      <c r="F45" s="143">
        <f t="shared" si="11"/>
        <v>204109.99998206832</v>
      </c>
      <c r="G45" s="79"/>
      <c r="H45" s="79"/>
      <c r="I45" s="79"/>
      <c r="J45" s="79"/>
      <c r="K45" s="79"/>
      <c r="L45" s="77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5">
      <c r="A46" s="57"/>
      <c r="B46" s="106" t="s">
        <v>135</v>
      </c>
      <c r="C46" s="143">
        <f>C43*C36</f>
        <v>169406.19017018875</v>
      </c>
      <c r="D46" s="143">
        <f t="shared" ref="D46:F46" si="12">D43*D36</f>
        <v>165651.50522065032</v>
      </c>
      <c r="E46" s="143">
        <f t="shared" si="12"/>
        <v>253703.96244386074</v>
      </c>
      <c r="F46" s="143">
        <f t="shared" si="12"/>
        <v>241324.91906463855</v>
      </c>
      <c r="G46" s="79"/>
      <c r="H46" s="79"/>
      <c r="I46" s="79"/>
      <c r="J46" s="79"/>
      <c r="K46" s="79"/>
      <c r="L46" s="77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x14ac:dyDescent="0.25">
      <c r="A47" s="57"/>
      <c r="B47" s="106"/>
      <c r="C47" s="79"/>
      <c r="D47" s="79"/>
      <c r="E47" s="79"/>
      <c r="F47" s="79"/>
      <c r="G47" s="79"/>
      <c r="H47" s="79"/>
      <c r="I47" s="79"/>
      <c r="J47" s="79"/>
      <c r="K47" s="79"/>
      <c r="L47" s="77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x14ac:dyDescent="0.25">
      <c r="A48" s="57"/>
      <c r="B48" s="107" t="s">
        <v>87</v>
      </c>
      <c r="C48" s="79"/>
      <c r="D48" s="79"/>
      <c r="E48" s="79"/>
      <c r="F48" s="79"/>
      <c r="G48" s="79"/>
      <c r="H48" s="79"/>
      <c r="I48" s="79"/>
      <c r="J48" s="79"/>
      <c r="K48" s="79"/>
      <c r="L48" s="7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30" x14ac:dyDescent="0.25">
      <c r="A49" s="57"/>
      <c r="B49" s="106" t="s">
        <v>136</v>
      </c>
      <c r="C49" s="79">
        <f>'BenchBalanced-1995'!G59</f>
        <v>6069276.4055192266</v>
      </c>
      <c r="D49" s="79">
        <f>'BenchBalanced-1995'!H59</f>
        <v>11363261.151588723</v>
      </c>
      <c r="E49" s="79">
        <f>'BenchBalanced-1995'!I59</f>
        <v>2751462.3840119871</v>
      </c>
      <c r="F49" s="79">
        <f>'BenchBalanced-1995'!J59</f>
        <v>2278077.373464026</v>
      </c>
      <c r="G49" s="79"/>
      <c r="H49" s="2"/>
      <c r="I49" s="79"/>
      <c r="J49" s="2"/>
      <c r="K49" s="79"/>
      <c r="L49" s="77"/>
      <c r="M49" s="5"/>
      <c r="N49" s="5"/>
      <c r="Q49" s="5"/>
      <c r="S49" s="5"/>
      <c r="T49" s="5"/>
      <c r="U49" s="5"/>
      <c r="V49" s="5"/>
      <c r="Y49" s="5"/>
    </row>
    <row r="50" spans="1:30" x14ac:dyDescent="0.25">
      <c r="A50" s="57"/>
      <c r="B50" s="106" t="s">
        <v>137</v>
      </c>
      <c r="C50" s="79">
        <f>'BenchBalanced-1995'!K59</f>
        <v>1380552.1836689888</v>
      </c>
      <c r="D50" s="79">
        <f>'BenchBalanced-1995'!L59</f>
        <v>3400009.7559459996</v>
      </c>
      <c r="E50" s="79">
        <f>'BenchBalanced-1995'!M59</f>
        <v>1093935.091726003</v>
      </c>
      <c r="F50" s="79">
        <f>'BenchBalanced-1995'!N59</f>
        <v>821984.53737499891</v>
      </c>
      <c r="G50" s="2"/>
      <c r="H50" s="2"/>
      <c r="I50" s="79"/>
      <c r="J50" s="2"/>
      <c r="K50" s="79"/>
      <c r="L50" s="77"/>
      <c r="M50" s="5"/>
      <c r="N50" s="5"/>
      <c r="Q50" s="5"/>
      <c r="S50" s="5"/>
      <c r="T50" s="5"/>
      <c r="U50" s="5"/>
      <c r="V50" s="5"/>
      <c r="Y50" s="5"/>
    </row>
    <row r="51" spans="1:30" x14ac:dyDescent="0.25">
      <c r="A51" s="57"/>
      <c r="B51" s="106" t="s">
        <v>138</v>
      </c>
      <c r="C51" s="79">
        <f>'BenchBalanced-1995'!C71-'Alt2-Balanced-Trd'!C38</f>
        <v>-1.1641532182693481E-10</v>
      </c>
      <c r="D51" s="79">
        <f>'BenchBalanced-1995'!D71-'Alt2-Balanced-Trd'!D38</f>
        <v>2.3283064365386963E-10</v>
      </c>
      <c r="E51" s="79">
        <f>'BenchBalanced-1995'!E71-'Alt2-Balanced-Trd'!E38</f>
        <v>0</v>
      </c>
      <c r="F51" s="79">
        <f>'BenchBalanced-1995'!F71-'Alt2-Balanced-Trd'!F38</f>
        <v>-1.1641532182693481E-10</v>
      </c>
      <c r="G51" s="79"/>
      <c r="H51" s="79"/>
      <c r="I51" s="79"/>
      <c r="J51" s="79"/>
      <c r="K51" s="79"/>
      <c r="L51" s="77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30" x14ac:dyDescent="0.25">
      <c r="A52" s="57"/>
      <c r="B52" s="106" t="s">
        <v>107</v>
      </c>
      <c r="C52" s="79">
        <f>C49/(C49+C50)</f>
        <v>0.81468671833972717</v>
      </c>
      <c r="D52" s="79">
        <f t="shared" ref="D52:F52" si="13">D49/(D49+D50)</f>
        <v>0.76969807184052019</v>
      </c>
      <c r="E52" s="79">
        <f t="shared" si="13"/>
        <v>0.71552093154789931</v>
      </c>
      <c r="F52" s="79">
        <f t="shared" si="13"/>
        <v>0.73484899301493933</v>
      </c>
      <c r="G52" s="79"/>
      <c r="H52" s="79"/>
      <c r="I52" s="79"/>
      <c r="J52" s="79"/>
      <c r="K52" s="79"/>
      <c r="L52" s="77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30" x14ac:dyDescent="0.25">
      <c r="A53" s="57"/>
      <c r="B53" s="106" t="s">
        <v>108</v>
      </c>
      <c r="C53" s="79">
        <f>1-C52</f>
        <v>0.18531328166027283</v>
      </c>
      <c r="D53" s="79">
        <f t="shared" ref="D53:F53" si="14">1-D52</f>
        <v>0.23030192815947981</v>
      </c>
      <c r="E53" s="79">
        <f t="shared" si="14"/>
        <v>0.28447906845210069</v>
      </c>
      <c r="F53" s="79">
        <f t="shared" si="14"/>
        <v>0.26515100698506067</v>
      </c>
      <c r="G53" s="79"/>
      <c r="H53" s="79"/>
      <c r="I53" s="79"/>
      <c r="J53" s="79"/>
      <c r="K53" s="79"/>
      <c r="L53" s="77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30" x14ac:dyDescent="0.25">
      <c r="A54" s="57"/>
      <c r="B54" s="43" t="s">
        <v>139</v>
      </c>
      <c r="C54" s="2">
        <f>C49+C51*C52</f>
        <v>6069276.4055192266</v>
      </c>
      <c r="D54" s="2">
        <f t="shared" ref="D54:F54" si="15">D49+D51*D52</f>
        <v>11363261.151588723</v>
      </c>
      <c r="E54" s="2">
        <f t="shared" si="15"/>
        <v>2751462.3840119871</v>
      </c>
      <c r="F54" s="2">
        <f t="shared" si="15"/>
        <v>2278077.373464026</v>
      </c>
      <c r="G54" s="2"/>
      <c r="H54" s="79"/>
      <c r="I54" s="79"/>
      <c r="J54" s="79"/>
      <c r="K54" s="2"/>
      <c r="L54" s="13"/>
      <c r="M54" s="5"/>
      <c r="N54" s="5"/>
      <c r="P54" s="5"/>
      <c r="Q54" s="5"/>
      <c r="R54" s="5"/>
      <c r="U54" s="5"/>
      <c r="V54" s="5"/>
      <c r="X54" s="5"/>
      <c r="Y54" s="5"/>
      <c r="Z54" s="5"/>
    </row>
    <row r="55" spans="1:30" x14ac:dyDescent="0.25">
      <c r="A55" s="57"/>
      <c r="B55" s="43" t="s">
        <v>140</v>
      </c>
      <c r="C55" s="2">
        <f>C50+C51*C53</f>
        <v>1380552.1836689888</v>
      </c>
      <c r="D55" s="2">
        <f t="shared" ref="D55:F55" si="16">D50+D51*D53</f>
        <v>3400009.7559459996</v>
      </c>
      <c r="E55" s="2">
        <f t="shared" si="16"/>
        <v>1093935.091726003</v>
      </c>
      <c r="F55" s="2">
        <f t="shared" si="16"/>
        <v>821984.53737499891</v>
      </c>
      <c r="G55" s="2"/>
      <c r="H55" s="2"/>
      <c r="I55" s="2"/>
      <c r="J55" s="2"/>
      <c r="K55" s="2"/>
      <c r="L55" s="13"/>
    </row>
    <row r="56" spans="1:30" x14ac:dyDescent="0.25">
      <c r="A56" s="98"/>
      <c r="B56" s="106" t="s">
        <v>141</v>
      </c>
      <c r="C56" s="79">
        <f>C54-C45</f>
        <v>5844309.1720019476</v>
      </c>
      <c r="D56" s="79">
        <f t="shared" ref="D56:F57" si="17">D54-D45</f>
        <v>10896551.745555244</v>
      </c>
      <c r="E56" s="79">
        <f t="shared" si="17"/>
        <v>2460568.7383109094</v>
      </c>
      <c r="F56" s="79">
        <f t="shared" si="17"/>
        <v>2073967.3734819577</v>
      </c>
      <c r="G56" s="79"/>
      <c r="H56" s="79"/>
      <c r="I56" s="79"/>
      <c r="J56" s="79"/>
      <c r="K56" s="79"/>
      <c r="L56" s="77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30" x14ac:dyDescent="0.25">
      <c r="A57" s="98"/>
      <c r="B57" s="106" t="s">
        <v>142</v>
      </c>
      <c r="C57" s="79">
        <f>C55-C46</f>
        <v>1211145.9934988001</v>
      </c>
      <c r="D57" s="79">
        <f t="shared" si="17"/>
        <v>3234358.2507253494</v>
      </c>
      <c r="E57" s="79">
        <f t="shared" si="17"/>
        <v>840231.12928214227</v>
      </c>
      <c r="F57" s="79">
        <f t="shared" si="17"/>
        <v>580659.61831036035</v>
      </c>
      <c r="G57" s="79"/>
      <c r="H57" s="79"/>
      <c r="I57" s="79"/>
      <c r="J57" s="79"/>
      <c r="K57" s="79"/>
      <c r="L57" s="77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30" x14ac:dyDescent="0.25">
      <c r="A58" s="108"/>
      <c r="B58" s="109"/>
      <c r="C58" s="144"/>
      <c r="D58" s="144"/>
      <c r="E58" s="144"/>
      <c r="F58" s="144"/>
      <c r="G58" s="110"/>
      <c r="H58" s="110"/>
      <c r="I58" s="110"/>
      <c r="J58" s="110"/>
      <c r="K58" s="110"/>
      <c r="L58" s="1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</row>
    <row r="60" spans="1:30" x14ac:dyDescent="0.25">
      <c r="A60" s="59" t="s">
        <v>84</v>
      </c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5"/>
    </row>
    <row r="61" spans="1:30" x14ac:dyDescent="0.25">
      <c r="A61" s="14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13"/>
    </row>
    <row r="62" spans="1:30" ht="15" customHeight="1" x14ac:dyDescent="0.25">
      <c r="A62" s="14"/>
      <c r="B62" s="2"/>
      <c r="C62" s="157" t="s">
        <v>26</v>
      </c>
      <c r="D62" s="158"/>
      <c r="E62" s="158"/>
      <c r="F62" s="158"/>
      <c r="G62" s="158"/>
      <c r="H62" s="158"/>
      <c r="I62" s="158"/>
      <c r="J62" s="159"/>
      <c r="K62" s="157" t="s">
        <v>5</v>
      </c>
      <c r="L62" s="158"/>
      <c r="M62" s="158"/>
      <c r="N62" s="158"/>
      <c r="O62" s="158"/>
      <c r="P62" s="158"/>
      <c r="Q62" s="158"/>
      <c r="R62" s="159"/>
      <c r="S62" s="157" t="s">
        <v>3</v>
      </c>
      <c r="T62" s="158"/>
      <c r="U62" s="158"/>
      <c r="V62" s="158"/>
      <c r="W62" s="158"/>
      <c r="X62" s="158"/>
      <c r="Y62" s="158"/>
      <c r="Z62" s="160"/>
      <c r="AA62" s="2"/>
      <c r="AB62" s="2"/>
      <c r="AC62" s="2"/>
      <c r="AD62" s="13"/>
    </row>
    <row r="63" spans="1:30" ht="15.75" thickBot="1" x14ac:dyDescent="0.3">
      <c r="A63" s="14"/>
      <c r="B63" s="2"/>
      <c r="C63" s="23" t="s">
        <v>14</v>
      </c>
      <c r="D63" s="24" t="s">
        <v>22</v>
      </c>
      <c r="E63" s="24" t="s">
        <v>15</v>
      </c>
      <c r="F63" s="24" t="s">
        <v>23</v>
      </c>
      <c r="G63" s="24" t="s">
        <v>16</v>
      </c>
      <c r="H63" s="24" t="s">
        <v>24</v>
      </c>
      <c r="I63" s="24" t="s">
        <v>17</v>
      </c>
      <c r="J63" s="25" t="s">
        <v>25</v>
      </c>
      <c r="K63" s="23" t="s">
        <v>14</v>
      </c>
      <c r="L63" s="24" t="s">
        <v>22</v>
      </c>
      <c r="M63" s="24" t="s">
        <v>15</v>
      </c>
      <c r="N63" s="24" t="s">
        <v>23</v>
      </c>
      <c r="O63" s="24" t="s">
        <v>16</v>
      </c>
      <c r="P63" s="24" t="s">
        <v>24</v>
      </c>
      <c r="Q63" s="24" t="s">
        <v>17</v>
      </c>
      <c r="R63" s="25" t="s">
        <v>25</v>
      </c>
      <c r="S63" s="23" t="s">
        <v>14</v>
      </c>
      <c r="T63" s="24" t="s">
        <v>22</v>
      </c>
      <c r="U63" s="24" t="s">
        <v>15</v>
      </c>
      <c r="V63" s="24" t="s">
        <v>23</v>
      </c>
      <c r="W63" s="24" t="s">
        <v>16</v>
      </c>
      <c r="X63" s="24" t="s">
        <v>24</v>
      </c>
      <c r="Y63" s="24" t="s">
        <v>17</v>
      </c>
      <c r="Z63" s="38" t="s">
        <v>25</v>
      </c>
      <c r="AA63" s="2"/>
      <c r="AB63" s="9" t="s">
        <v>75</v>
      </c>
      <c r="AC63" s="9" t="s">
        <v>39</v>
      </c>
      <c r="AD63" s="112" t="s">
        <v>76</v>
      </c>
    </row>
    <row r="64" spans="1:30" ht="15.75" thickTop="1" x14ac:dyDescent="0.25">
      <c r="A64" s="161" t="s">
        <v>43</v>
      </c>
      <c r="B64" s="22" t="s">
        <v>14</v>
      </c>
      <c r="C64" s="26">
        <v>5534788.9363161717</v>
      </c>
      <c r="D64" s="27">
        <v>0</v>
      </c>
      <c r="E64" s="27">
        <v>0</v>
      </c>
      <c r="F64" s="27">
        <v>0</v>
      </c>
      <c r="G64" s="28">
        <v>0</v>
      </c>
      <c r="H64" s="28">
        <v>0</v>
      </c>
      <c r="I64" s="28">
        <v>0</v>
      </c>
      <c r="J64" s="29">
        <v>0</v>
      </c>
      <c r="K64" s="26">
        <v>5844309.1720019476</v>
      </c>
      <c r="L64" s="27">
        <v>0</v>
      </c>
      <c r="M64" s="27">
        <v>0</v>
      </c>
      <c r="N64" s="27">
        <v>0</v>
      </c>
      <c r="O64" s="28">
        <v>0</v>
      </c>
      <c r="P64" s="28">
        <v>0</v>
      </c>
      <c r="Q64" s="28">
        <v>0</v>
      </c>
      <c r="R64" s="29">
        <v>0</v>
      </c>
      <c r="S64" s="26">
        <v>1211145.9934988001</v>
      </c>
      <c r="T64" s="27">
        <v>0</v>
      </c>
      <c r="U64" s="27">
        <v>0</v>
      </c>
      <c r="V64" s="27">
        <v>0</v>
      </c>
      <c r="W64" s="28">
        <v>0</v>
      </c>
      <c r="X64" s="28">
        <v>0</v>
      </c>
      <c r="Y64" s="28">
        <v>0</v>
      </c>
      <c r="Z64" s="39">
        <v>0</v>
      </c>
      <c r="AA64" s="2"/>
      <c r="AB64" s="48">
        <f>SUM(C64:Z64)</f>
        <v>12590244.101816921</v>
      </c>
      <c r="AC64" s="48">
        <f t="shared" ref="AC64:AC72" si="18">AC7</f>
        <v>12590244.10182373</v>
      </c>
      <c r="AD64" s="52">
        <f>AC64-AB64</f>
        <v>6.8098306655883789E-6</v>
      </c>
    </row>
    <row r="65" spans="1:30" x14ac:dyDescent="0.25">
      <c r="A65" s="161"/>
      <c r="B65" s="22" t="s">
        <v>18</v>
      </c>
      <c r="C65" s="26">
        <v>0</v>
      </c>
      <c r="D65" s="27">
        <v>0</v>
      </c>
      <c r="E65" s="27">
        <v>0</v>
      </c>
      <c r="F65" s="27">
        <v>199370.07667337687</v>
      </c>
      <c r="G65" s="30">
        <v>0</v>
      </c>
      <c r="H65" s="30">
        <v>180824.25996864395</v>
      </c>
      <c r="I65" s="30">
        <v>0</v>
      </c>
      <c r="J65" s="29">
        <v>223776.33483551012</v>
      </c>
      <c r="K65" s="26">
        <v>0</v>
      </c>
      <c r="L65" s="27">
        <v>0</v>
      </c>
      <c r="M65" s="27">
        <v>0</v>
      </c>
      <c r="N65" s="27">
        <v>69077.479471708226</v>
      </c>
      <c r="O65" s="30">
        <v>0</v>
      </c>
      <c r="P65" s="30">
        <v>47346.113953241962</v>
      </c>
      <c r="Q65" s="30">
        <v>0</v>
      </c>
      <c r="R65" s="29">
        <v>36929.409561891363</v>
      </c>
      <c r="S65" s="26">
        <v>0</v>
      </c>
      <c r="T65" s="27">
        <v>0</v>
      </c>
      <c r="U65" s="27">
        <v>0</v>
      </c>
      <c r="V65" s="27">
        <v>49343.747560924588</v>
      </c>
      <c r="W65" s="27">
        <v>0</v>
      </c>
      <c r="X65" s="27">
        <v>49086.965228222405</v>
      </c>
      <c r="Y65" s="27">
        <v>0</v>
      </c>
      <c r="Z65" s="39">
        <v>29214.448994233917</v>
      </c>
      <c r="AA65" s="2"/>
      <c r="AB65" s="48">
        <f t="shared" ref="AB65:AB72" si="19">SUM(C65:Z65)</f>
        <v>884968.83624775347</v>
      </c>
      <c r="AC65" s="48">
        <f t="shared" si="18"/>
        <v>884968.83624775358</v>
      </c>
      <c r="AD65" s="52">
        <f t="shared" ref="AD65:AD72" si="20">AC65-AB65</f>
        <v>0</v>
      </c>
    </row>
    <row r="66" spans="1:30" x14ac:dyDescent="0.25">
      <c r="A66" s="161"/>
      <c r="B66" s="22" t="s">
        <v>15</v>
      </c>
      <c r="C66" s="26">
        <v>0</v>
      </c>
      <c r="D66" s="27">
        <v>0</v>
      </c>
      <c r="E66" s="27">
        <v>11848491.773588402</v>
      </c>
      <c r="F66" s="27">
        <v>0</v>
      </c>
      <c r="G66" s="35">
        <v>0</v>
      </c>
      <c r="H66" s="35">
        <v>0</v>
      </c>
      <c r="I66" s="35">
        <v>0</v>
      </c>
      <c r="J66" s="36">
        <v>0</v>
      </c>
      <c r="K66" s="26">
        <v>0</v>
      </c>
      <c r="L66" s="27">
        <v>0</v>
      </c>
      <c r="M66" s="27">
        <v>10896551.745555244</v>
      </c>
      <c r="N66" s="27">
        <v>0</v>
      </c>
      <c r="O66" s="35">
        <v>0</v>
      </c>
      <c r="P66" s="35">
        <v>0</v>
      </c>
      <c r="Q66" s="35">
        <v>0</v>
      </c>
      <c r="R66" s="36">
        <v>0</v>
      </c>
      <c r="S66" s="26">
        <v>0</v>
      </c>
      <c r="T66" s="27">
        <v>0</v>
      </c>
      <c r="U66" s="27">
        <v>3234358.2507253494</v>
      </c>
      <c r="V66" s="27">
        <v>0</v>
      </c>
      <c r="W66" s="35">
        <v>0</v>
      </c>
      <c r="X66" s="35">
        <v>0</v>
      </c>
      <c r="Y66" s="35">
        <v>0</v>
      </c>
      <c r="Z66" s="40">
        <v>0</v>
      </c>
      <c r="AA66" s="2"/>
      <c r="AB66" s="48">
        <f t="shared" si="19"/>
        <v>25979401.769869</v>
      </c>
      <c r="AC66" s="48">
        <f t="shared" si="18"/>
        <v>25979401.769873172</v>
      </c>
      <c r="AD66" s="52">
        <f t="shared" si="20"/>
        <v>4.1723251342773438E-6</v>
      </c>
    </row>
    <row r="67" spans="1:30" x14ac:dyDescent="0.25">
      <c r="A67" s="161"/>
      <c r="B67" s="22" t="s">
        <v>19</v>
      </c>
      <c r="C67" s="26">
        <v>0</v>
      </c>
      <c r="D67" s="27">
        <v>183303.23195169101</v>
      </c>
      <c r="E67" s="27">
        <v>0</v>
      </c>
      <c r="F67" s="27">
        <v>0</v>
      </c>
      <c r="G67" s="27">
        <v>0</v>
      </c>
      <c r="H67" s="27">
        <v>460235.93699616712</v>
      </c>
      <c r="I67" s="27">
        <v>0</v>
      </c>
      <c r="J67" s="37">
        <v>450341.58017343999</v>
      </c>
      <c r="K67" s="26">
        <v>0</v>
      </c>
      <c r="L67" s="27">
        <v>59901.80742383196</v>
      </c>
      <c r="M67" s="27">
        <v>0</v>
      </c>
      <c r="N67" s="27">
        <v>0</v>
      </c>
      <c r="O67" s="27">
        <v>0</v>
      </c>
      <c r="P67" s="27">
        <v>142537.21418508011</v>
      </c>
      <c r="Q67" s="27">
        <v>0</v>
      </c>
      <c r="R67" s="37">
        <v>103246.77512628505</v>
      </c>
      <c r="S67" s="26">
        <v>0</v>
      </c>
      <c r="T67" s="27">
        <v>81381.414376950808</v>
      </c>
      <c r="U67" s="27">
        <v>0</v>
      </c>
      <c r="V67" s="27">
        <v>0</v>
      </c>
      <c r="W67" s="27">
        <v>0</v>
      </c>
      <c r="X67" s="27">
        <v>169084.87369592924</v>
      </c>
      <c r="Y67" s="27">
        <v>0</v>
      </c>
      <c r="Z67" s="39">
        <v>141320.42833488347</v>
      </c>
      <c r="AA67" s="2"/>
      <c r="AB67" s="48">
        <f t="shared" si="19"/>
        <v>1791353.2622642587</v>
      </c>
      <c r="AC67" s="48">
        <f t="shared" si="18"/>
        <v>1791353.2622642587</v>
      </c>
      <c r="AD67" s="52">
        <f t="shared" si="20"/>
        <v>0</v>
      </c>
    </row>
    <row r="68" spans="1:30" x14ac:dyDescent="0.25">
      <c r="A68" s="161"/>
      <c r="B68" s="78" t="s">
        <v>16</v>
      </c>
      <c r="C68" s="26">
        <v>0</v>
      </c>
      <c r="D68" s="27">
        <v>0</v>
      </c>
      <c r="E68" s="27">
        <v>0</v>
      </c>
      <c r="F68" s="27">
        <v>0</v>
      </c>
      <c r="G68" s="27">
        <v>3038225.9667235413</v>
      </c>
      <c r="H68" s="27">
        <v>0</v>
      </c>
      <c r="I68" s="27">
        <v>0</v>
      </c>
      <c r="J68" s="37">
        <v>0</v>
      </c>
      <c r="K68" s="26">
        <v>0</v>
      </c>
      <c r="L68" s="27">
        <v>0</v>
      </c>
      <c r="M68" s="27">
        <v>0</v>
      </c>
      <c r="N68" s="27">
        <v>0</v>
      </c>
      <c r="O68" s="27">
        <v>2460568.7383109094</v>
      </c>
      <c r="P68" s="27">
        <v>0</v>
      </c>
      <c r="Q68" s="27">
        <v>0</v>
      </c>
      <c r="R68" s="37">
        <v>0</v>
      </c>
      <c r="S68" s="26">
        <v>0</v>
      </c>
      <c r="T68" s="27">
        <v>0</v>
      </c>
      <c r="U68" s="27">
        <v>0</v>
      </c>
      <c r="V68" s="27">
        <v>0</v>
      </c>
      <c r="W68" s="27">
        <v>840231.12928214227</v>
      </c>
      <c r="X68" s="27">
        <v>0</v>
      </c>
      <c r="Y68" s="27">
        <v>0</v>
      </c>
      <c r="Z68" s="39">
        <v>0</v>
      </c>
      <c r="AA68" s="2"/>
      <c r="AB68" s="48">
        <f t="shared" si="19"/>
        <v>6339025.8343165927</v>
      </c>
      <c r="AC68" s="48">
        <f t="shared" si="18"/>
        <v>6339025.8343123877</v>
      </c>
      <c r="AD68" s="52">
        <f t="shared" si="20"/>
        <v>-4.2049214243888855E-6</v>
      </c>
    </row>
    <row r="69" spans="1:30" x14ac:dyDescent="0.25">
      <c r="A69" s="161"/>
      <c r="B69" s="78" t="s">
        <v>20</v>
      </c>
      <c r="C69" s="26">
        <v>0</v>
      </c>
      <c r="D69" s="27">
        <v>165820.43302817448</v>
      </c>
      <c r="E69" s="27">
        <v>0</v>
      </c>
      <c r="F69" s="27">
        <v>507905.86158084695</v>
      </c>
      <c r="G69" s="27">
        <v>0</v>
      </c>
      <c r="H69" s="27">
        <v>0</v>
      </c>
      <c r="I69" s="27">
        <v>0</v>
      </c>
      <c r="J69" s="37">
        <v>301715.69395051856</v>
      </c>
      <c r="K69" s="26">
        <v>0</v>
      </c>
      <c r="L69" s="27">
        <v>107693.49765223646</v>
      </c>
      <c r="M69" s="27">
        <v>0</v>
      </c>
      <c r="N69" s="27">
        <v>251069.05476244129</v>
      </c>
      <c r="O69" s="27">
        <v>0</v>
      </c>
      <c r="P69" s="27">
        <v>0</v>
      </c>
      <c r="Q69" s="27">
        <v>0</v>
      </c>
      <c r="R69" s="37">
        <v>63933.815293891908</v>
      </c>
      <c r="S69" s="26">
        <v>0</v>
      </c>
      <c r="T69" s="27">
        <v>56434.508913730984</v>
      </c>
      <c r="U69" s="27">
        <v>0</v>
      </c>
      <c r="V69" s="27">
        <v>68655.092616629423</v>
      </c>
      <c r="W69" s="27">
        <v>0</v>
      </c>
      <c r="X69" s="27">
        <v>0</v>
      </c>
      <c r="Y69" s="27">
        <v>0</v>
      </c>
      <c r="Z69" s="39">
        <v>70790.041735521154</v>
      </c>
      <c r="AA69" s="2"/>
      <c r="AB69" s="48">
        <f t="shared" si="19"/>
        <v>1594017.9995339906</v>
      </c>
      <c r="AC69" s="48">
        <f t="shared" si="18"/>
        <v>1594017.9995339911</v>
      </c>
      <c r="AD69" s="52">
        <f t="shared" si="20"/>
        <v>0</v>
      </c>
    </row>
    <row r="70" spans="1:30" x14ac:dyDescent="0.25">
      <c r="A70" s="161"/>
      <c r="B70" s="78" t="s">
        <v>17</v>
      </c>
      <c r="C70" s="26">
        <v>0</v>
      </c>
      <c r="D70" s="27">
        <v>0</v>
      </c>
      <c r="E70" s="27">
        <v>0</v>
      </c>
      <c r="F70" s="27">
        <v>0</v>
      </c>
      <c r="G70" s="27">
        <v>0</v>
      </c>
      <c r="H70" s="27">
        <v>0</v>
      </c>
      <c r="I70" s="27">
        <v>1927401.2160873346</v>
      </c>
      <c r="J70" s="37">
        <v>0</v>
      </c>
      <c r="K70" s="26">
        <v>0</v>
      </c>
      <c r="L70" s="27">
        <v>0</v>
      </c>
      <c r="M70" s="27">
        <v>0</v>
      </c>
      <c r="N70" s="27">
        <v>0</v>
      </c>
      <c r="O70" s="27">
        <v>0</v>
      </c>
      <c r="P70" s="27">
        <v>0</v>
      </c>
      <c r="Q70" s="27">
        <v>2073967.3734819577</v>
      </c>
      <c r="R70" s="37">
        <v>0</v>
      </c>
      <c r="S70" s="26">
        <v>0</v>
      </c>
      <c r="T70" s="27">
        <v>0</v>
      </c>
      <c r="U70" s="27">
        <v>0</v>
      </c>
      <c r="V70" s="27">
        <v>0</v>
      </c>
      <c r="W70" s="27">
        <v>0</v>
      </c>
      <c r="X70" s="27">
        <v>0</v>
      </c>
      <c r="Y70" s="27">
        <v>580659.61831036035</v>
      </c>
      <c r="Z70" s="39">
        <v>0</v>
      </c>
      <c r="AA70" s="2"/>
      <c r="AB70" s="48">
        <f t="shared" si="19"/>
        <v>4582028.2078796523</v>
      </c>
      <c r="AC70" s="48">
        <f t="shared" si="18"/>
        <v>4582028.2078729868</v>
      </c>
      <c r="AD70" s="52">
        <f t="shared" si="20"/>
        <v>-6.6654756665229797E-6</v>
      </c>
    </row>
    <row r="71" spans="1:30" x14ac:dyDescent="0.25">
      <c r="A71" s="161"/>
      <c r="B71" s="78" t="s">
        <v>21</v>
      </c>
      <c r="C71" s="26">
        <v>0</v>
      </c>
      <c r="D71" s="27">
        <v>141471.7475934602</v>
      </c>
      <c r="E71" s="27">
        <v>0</v>
      </c>
      <c r="F71" s="27">
        <v>451716.41274407267</v>
      </c>
      <c r="G71" s="30">
        <v>0</v>
      </c>
      <c r="H71" s="30">
        <v>408360.19442335435</v>
      </c>
      <c r="I71" s="30">
        <v>0</v>
      </c>
      <c r="J71" s="29">
        <v>0</v>
      </c>
      <c r="K71" s="26">
        <v>0</v>
      </c>
      <c r="L71" s="27">
        <v>57371.928441210934</v>
      </c>
      <c r="M71" s="27">
        <v>0</v>
      </c>
      <c r="N71" s="27">
        <v>146562.87179932967</v>
      </c>
      <c r="O71" s="27">
        <v>0</v>
      </c>
      <c r="P71" s="27">
        <v>101010.3175627556</v>
      </c>
      <c r="Q71" s="27">
        <v>0</v>
      </c>
      <c r="R71" s="37">
        <v>0</v>
      </c>
      <c r="S71" s="26">
        <v>0</v>
      </c>
      <c r="T71" s="27">
        <v>31590.26687950694</v>
      </c>
      <c r="U71" s="27">
        <v>0</v>
      </c>
      <c r="V71" s="27">
        <v>47652.665043096305</v>
      </c>
      <c r="W71" s="27">
        <v>0</v>
      </c>
      <c r="X71" s="27">
        <v>35532.123519709101</v>
      </c>
      <c r="Y71" s="27">
        <v>0</v>
      </c>
      <c r="Z71" s="39">
        <v>0</v>
      </c>
      <c r="AA71" s="2"/>
      <c r="AB71" s="48">
        <f t="shared" si="19"/>
        <v>1421268.5280064959</v>
      </c>
      <c r="AC71" s="48">
        <f t="shared" si="18"/>
        <v>1421268.5280064959</v>
      </c>
      <c r="AD71" s="52">
        <f t="shared" si="20"/>
        <v>0</v>
      </c>
    </row>
    <row r="72" spans="1:30" x14ac:dyDescent="0.25">
      <c r="A72" s="14"/>
      <c r="B72" s="7" t="s">
        <v>2</v>
      </c>
      <c r="C72" s="31">
        <v>7449828.5891819866</v>
      </c>
      <c r="D72" s="32">
        <v>0</v>
      </c>
      <c r="E72" s="32">
        <v>14763270.907550735</v>
      </c>
      <c r="F72" s="32">
        <v>0</v>
      </c>
      <c r="G72" s="33">
        <v>3845397.4757346725</v>
      </c>
      <c r="H72" s="33">
        <v>0</v>
      </c>
      <c r="I72" s="33">
        <v>3100061.9108326789</v>
      </c>
      <c r="J72" s="34">
        <v>0</v>
      </c>
      <c r="K72" s="31">
        <v>0</v>
      </c>
      <c r="L72" s="32">
        <v>0</v>
      </c>
      <c r="M72" s="32">
        <v>0</v>
      </c>
      <c r="N72" s="32">
        <v>0</v>
      </c>
      <c r="O72" s="33">
        <v>0</v>
      </c>
      <c r="P72" s="33">
        <v>0</v>
      </c>
      <c r="Q72" s="33">
        <v>0</v>
      </c>
      <c r="R72" s="34">
        <v>0</v>
      </c>
      <c r="S72" s="31">
        <v>0</v>
      </c>
      <c r="T72" s="32">
        <v>0</v>
      </c>
      <c r="U72" s="32">
        <v>0</v>
      </c>
      <c r="V72" s="32">
        <v>0</v>
      </c>
      <c r="W72" s="32">
        <v>0</v>
      </c>
      <c r="X72" s="32">
        <v>0</v>
      </c>
      <c r="Y72" s="32">
        <v>0</v>
      </c>
      <c r="Z72" s="41">
        <v>0</v>
      </c>
      <c r="AA72" s="2"/>
      <c r="AB72" s="48">
        <f t="shared" si="19"/>
        <v>29158558.883300073</v>
      </c>
      <c r="AC72" s="48">
        <f t="shared" si="18"/>
        <v>29158558.883299731</v>
      </c>
      <c r="AD72" s="52">
        <f t="shared" si="20"/>
        <v>-3.4272670745849609E-7</v>
      </c>
    </row>
    <row r="73" spans="1:30" x14ac:dyDescent="0.25">
      <c r="A73" s="57"/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79"/>
      <c r="Q73" s="79"/>
      <c r="R73" s="79"/>
      <c r="S73" s="79"/>
      <c r="T73" s="79"/>
      <c r="U73" s="79"/>
      <c r="V73" s="79"/>
      <c r="W73" s="79"/>
      <c r="X73" s="79"/>
      <c r="Y73" s="79"/>
      <c r="Z73" s="79"/>
      <c r="AA73" s="2"/>
      <c r="AB73" s="60">
        <f>SUM(AB64:AB72)</f>
        <v>84340867.423234731</v>
      </c>
      <c r="AC73" s="60">
        <f>SUM(AC64:AC72)</f>
        <v>84340867.423234493</v>
      </c>
      <c r="AD73" s="13"/>
    </row>
    <row r="74" spans="1:30" x14ac:dyDescent="0.25">
      <c r="A74" s="57"/>
      <c r="B74" s="80" t="s">
        <v>74</v>
      </c>
      <c r="C74" s="79">
        <f>SUM(C64:C72)</f>
        <v>12984617.525498159</v>
      </c>
      <c r="D74" s="79">
        <f t="shared" ref="D74:Z74" si="21">SUM(D64:D72)</f>
        <v>490595.41257332568</v>
      </c>
      <c r="E74" s="79">
        <f t="shared" si="21"/>
        <v>26611762.681139138</v>
      </c>
      <c r="F74" s="79">
        <f t="shared" si="21"/>
        <v>1158992.3509982964</v>
      </c>
      <c r="G74" s="79">
        <f t="shared" si="21"/>
        <v>6883623.4424582142</v>
      </c>
      <c r="H74" s="79">
        <f t="shared" si="21"/>
        <v>1049420.3913881653</v>
      </c>
      <c r="I74" s="79">
        <f t="shared" si="21"/>
        <v>5027463.1269200137</v>
      </c>
      <c r="J74" s="79">
        <f t="shared" si="21"/>
        <v>975833.60895946855</v>
      </c>
      <c r="K74" s="79">
        <f t="shared" si="21"/>
        <v>5844309.1720019476</v>
      </c>
      <c r="L74" s="79">
        <f t="shared" si="21"/>
        <v>224967.23351727935</v>
      </c>
      <c r="M74" s="79">
        <f t="shared" si="21"/>
        <v>10896551.745555244</v>
      </c>
      <c r="N74" s="79">
        <f t="shared" si="21"/>
        <v>466709.40603347914</v>
      </c>
      <c r="O74" s="79">
        <f t="shared" si="21"/>
        <v>2460568.7383109094</v>
      </c>
      <c r="P74" s="79">
        <f t="shared" si="21"/>
        <v>290893.64570107765</v>
      </c>
      <c r="Q74" s="79">
        <f t="shared" si="21"/>
        <v>2073967.3734819577</v>
      </c>
      <c r="R74" s="79">
        <f t="shared" si="21"/>
        <v>204109.99998206832</v>
      </c>
      <c r="S74" s="79">
        <f t="shared" si="21"/>
        <v>1211145.9934988001</v>
      </c>
      <c r="T74" s="79">
        <f t="shared" si="21"/>
        <v>169406.19017018873</v>
      </c>
      <c r="U74" s="79">
        <f t="shared" si="21"/>
        <v>3234358.2507253494</v>
      </c>
      <c r="V74" s="79">
        <f t="shared" si="21"/>
        <v>165651.50522065032</v>
      </c>
      <c r="W74" s="79">
        <f t="shared" si="21"/>
        <v>840231.12928214227</v>
      </c>
      <c r="X74" s="79">
        <f t="shared" si="21"/>
        <v>253703.96244386074</v>
      </c>
      <c r="Y74" s="79">
        <f t="shared" si="21"/>
        <v>580659.61831036035</v>
      </c>
      <c r="Z74" s="79">
        <f t="shared" si="21"/>
        <v>241324.91906463855</v>
      </c>
      <c r="AA74" s="80">
        <f>SUM(C74:Z74)</f>
        <v>84340867.423234746</v>
      </c>
      <c r="AB74" s="2"/>
      <c r="AC74" s="2"/>
      <c r="AD74" s="13"/>
    </row>
    <row r="75" spans="1:30" x14ac:dyDescent="0.25">
      <c r="A75" s="57"/>
      <c r="B75" s="80" t="s">
        <v>40</v>
      </c>
      <c r="C75" s="79">
        <f t="shared" ref="C75:Z75" si="22">C18</f>
        <v>12984617.525498157</v>
      </c>
      <c r="D75" s="79">
        <f t="shared" si="22"/>
        <v>490595.41257332568</v>
      </c>
      <c r="E75" s="79">
        <f t="shared" si="22"/>
        <v>26611762.681139134</v>
      </c>
      <c r="F75" s="79">
        <f t="shared" si="22"/>
        <v>1158992.3509982964</v>
      </c>
      <c r="G75" s="79">
        <f t="shared" si="22"/>
        <v>6883623.4424582133</v>
      </c>
      <c r="H75" s="79">
        <f t="shared" si="22"/>
        <v>1049420.3913881655</v>
      </c>
      <c r="I75" s="79">
        <f t="shared" si="22"/>
        <v>5027463.1269200137</v>
      </c>
      <c r="J75" s="79">
        <f t="shared" si="22"/>
        <v>975833.60895946866</v>
      </c>
      <c r="K75" s="79">
        <f t="shared" si="22"/>
        <v>5844309.1720019476</v>
      </c>
      <c r="L75" s="79">
        <f t="shared" si="22"/>
        <v>224967.23351727935</v>
      </c>
      <c r="M75" s="79">
        <f t="shared" si="22"/>
        <v>10896551.745555244</v>
      </c>
      <c r="N75" s="79">
        <f t="shared" si="22"/>
        <v>466709.4060334792</v>
      </c>
      <c r="O75" s="79">
        <f t="shared" si="22"/>
        <v>2460568.7383109094</v>
      </c>
      <c r="P75" s="79">
        <f t="shared" si="22"/>
        <v>290893.64570107765</v>
      </c>
      <c r="Q75" s="79">
        <f t="shared" si="22"/>
        <v>2073967.3734819577</v>
      </c>
      <c r="R75" s="79">
        <f t="shared" si="22"/>
        <v>204109.99998206832</v>
      </c>
      <c r="S75" s="79">
        <f t="shared" si="22"/>
        <v>1211145.9934988001</v>
      </c>
      <c r="T75" s="79">
        <f t="shared" si="22"/>
        <v>169406.19017018875</v>
      </c>
      <c r="U75" s="79">
        <f t="shared" si="22"/>
        <v>3234358.2507253494</v>
      </c>
      <c r="V75" s="79">
        <f t="shared" si="22"/>
        <v>165651.50522065032</v>
      </c>
      <c r="W75" s="79">
        <f t="shared" si="22"/>
        <v>840231.12928214227</v>
      </c>
      <c r="X75" s="79">
        <f t="shared" si="22"/>
        <v>253703.96244386074</v>
      </c>
      <c r="Y75" s="79">
        <f t="shared" si="22"/>
        <v>580659.61831036035</v>
      </c>
      <c r="Z75" s="79">
        <f t="shared" si="22"/>
        <v>241324.91906463855</v>
      </c>
      <c r="AA75" s="80">
        <f>SUM(C75:Z75)</f>
        <v>84340867.423234746</v>
      </c>
      <c r="AB75" s="2"/>
      <c r="AC75" s="2"/>
      <c r="AD75" s="13"/>
    </row>
    <row r="76" spans="1:30" x14ac:dyDescent="0.25">
      <c r="A76" s="14"/>
      <c r="B76" s="7" t="s">
        <v>76</v>
      </c>
      <c r="C76" s="79">
        <f>C75-C75</f>
        <v>0</v>
      </c>
      <c r="D76" s="79">
        <f t="shared" ref="D76:Z76" si="23">D75-D75</f>
        <v>0</v>
      </c>
      <c r="E76" s="79">
        <f t="shared" si="23"/>
        <v>0</v>
      </c>
      <c r="F76" s="79">
        <f t="shared" si="23"/>
        <v>0</v>
      </c>
      <c r="G76" s="79">
        <f t="shared" si="23"/>
        <v>0</v>
      </c>
      <c r="H76" s="79">
        <f t="shared" si="23"/>
        <v>0</v>
      </c>
      <c r="I76" s="79">
        <f t="shared" si="23"/>
        <v>0</v>
      </c>
      <c r="J76" s="79">
        <f t="shared" si="23"/>
        <v>0</v>
      </c>
      <c r="K76" s="79">
        <f t="shared" si="23"/>
        <v>0</v>
      </c>
      <c r="L76" s="79">
        <f t="shared" si="23"/>
        <v>0</v>
      </c>
      <c r="M76" s="79">
        <f t="shared" si="23"/>
        <v>0</v>
      </c>
      <c r="N76" s="79">
        <f t="shared" si="23"/>
        <v>0</v>
      </c>
      <c r="O76" s="79">
        <f t="shared" si="23"/>
        <v>0</v>
      </c>
      <c r="P76" s="79">
        <f t="shared" si="23"/>
        <v>0</v>
      </c>
      <c r="Q76" s="79">
        <f t="shared" si="23"/>
        <v>0</v>
      </c>
      <c r="R76" s="79">
        <f t="shared" si="23"/>
        <v>0</v>
      </c>
      <c r="S76" s="79">
        <f t="shared" si="23"/>
        <v>0</v>
      </c>
      <c r="T76" s="79">
        <f t="shared" si="23"/>
        <v>0</v>
      </c>
      <c r="U76" s="79">
        <f t="shared" si="23"/>
        <v>0</v>
      </c>
      <c r="V76" s="79">
        <f t="shared" si="23"/>
        <v>0</v>
      </c>
      <c r="W76" s="79">
        <f t="shared" si="23"/>
        <v>0</v>
      </c>
      <c r="X76" s="79">
        <f t="shared" si="23"/>
        <v>0</v>
      </c>
      <c r="Y76" s="79">
        <f t="shared" si="23"/>
        <v>0</v>
      </c>
      <c r="Z76" s="79">
        <f t="shared" si="23"/>
        <v>0</v>
      </c>
      <c r="AA76" s="2"/>
      <c r="AB76" s="2"/>
      <c r="AC76" s="2"/>
      <c r="AD76" s="13"/>
    </row>
    <row r="77" spans="1:30" x14ac:dyDescent="0.25">
      <c r="A77" s="19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1"/>
    </row>
    <row r="79" spans="1:30" x14ac:dyDescent="0.25">
      <c r="A79" s="59" t="s">
        <v>85</v>
      </c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5"/>
    </row>
    <row r="80" spans="1:30" x14ac:dyDescent="0.25">
      <c r="A80" s="14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13"/>
    </row>
    <row r="81" spans="1:18" x14ac:dyDescent="0.25">
      <c r="A81" s="14"/>
      <c r="B81" s="2"/>
      <c r="C81" s="152" t="s">
        <v>11</v>
      </c>
      <c r="D81" s="152"/>
      <c r="E81" s="152"/>
      <c r="F81" s="152"/>
      <c r="G81" s="152"/>
      <c r="H81" s="152"/>
      <c r="I81" s="152"/>
      <c r="J81" s="152"/>
      <c r="K81" s="152"/>
      <c r="L81" s="152"/>
      <c r="M81" s="152"/>
      <c r="N81" s="152"/>
      <c r="O81" s="2"/>
      <c r="P81" s="7" t="s">
        <v>13</v>
      </c>
      <c r="Q81" s="2"/>
      <c r="R81" s="13"/>
    </row>
    <row r="82" spans="1:18" x14ac:dyDescent="0.25">
      <c r="A82" s="14"/>
      <c r="B82" s="2"/>
      <c r="C82" s="151" t="s">
        <v>1</v>
      </c>
      <c r="D82" s="152"/>
      <c r="E82" s="152"/>
      <c r="F82" s="153"/>
      <c r="G82" s="152" t="s">
        <v>5</v>
      </c>
      <c r="H82" s="152"/>
      <c r="I82" s="152"/>
      <c r="J82" s="153"/>
      <c r="K82" s="154" t="s">
        <v>3</v>
      </c>
      <c r="L82" s="152"/>
      <c r="M82" s="152"/>
      <c r="N82" s="155"/>
      <c r="O82" s="2"/>
      <c r="P82" s="2"/>
      <c r="Q82" s="2"/>
      <c r="R82" s="13"/>
    </row>
    <row r="83" spans="1:18" ht="15.75" thickBot="1" x14ac:dyDescent="0.3">
      <c r="A83" s="14"/>
      <c r="B83" s="2"/>
      <c r="C83" s="15" t="s">
        <v>7</v>
      </c>
      <c r="D83" s="16" t="s">
        <v>8</v>
      </c>
      <c r="E83" s="16" t="s">
        <v>9</v>
      </c>
      <c r="F83" s="17" t="s">
        <v>0</v>
      </c>
      <c r="G83" s="16" t="s">
        <v>7</v>
      </c>
      <c r="H83" s="16" t="s">
        <v>8</v>
      </c>
      <c r="I83" s="16" t="s">
        <v>9</v>
      </c>
      <c r="J83" s="17" t="s">
        <v>0</v>
      </c>
      <c r="K83" s="16" t="s">
        <v>7</v>
      </c>
      <c r="L83" s="16" t="s">
        <v>8</v>
      </c>
      <c r="M83" s="16" t="s">
        <v>9</v>
      </c>
      <c r="N83" s="18" t="s">
        <v>0</v>
      </c>
      <c r="O83" s="2"/>
      <c r="P83" s="2"/>
      <c r="Q83" s="2"/>
      <c r="R83" s="13"/>
    </row>
    <row r="84" spans="1:18" ht="15.75" thickTop="1" x14ac:dyDescent="0.25">
      <c r="A84" s="150" t="s">
        <v>10</v>
      </c>
      <c r="B84" s="7" t="s">
        <v>7</v>
      </c>
      <c r="C84" s="46">
        <f>SUM(C64:D65)</f>
        <v>5534788.9363161717</v>
      </c>
      <c r="D84" s="48">
        <f>SUM(E64:F65)</f>
        <v>199370.07667337687</v>
      </c>
      <c r="E84" s="48">
        <f>SUM(G64:H65)</f>
        <v>180824.25996864395</v>
      </c>
      <c r="F84" s="50">
        <f>SUM(I64:J65)</f>
        <v>223776.33483551012</v>
      </c>
      <c r="G84" s="48">
        <f>SUM(K64:L65)</f>
        <v>5844309.1720019476</v>
      </c>
      <c r="H84" s="48">
        <f>SUM(M64:N65)</f>
        <v>69077.479471708226</v>
      </c>
      <c r="I84" s="48">
        <f>SUM(O64:P65)</f>
        <v>47346.113953241962</v>
      </c>
      <c r="J84" s="50">
        <f>SUM(Q64:R65)</f>
        <v>36929.409561891363</v>
      </c>
      <c r="K84" s="48">
        <f>SUM(S64:T65)</f>
        <v>1211145.9934988001</v>
      </c>
      <c r="L84" s="48">
        <f>SUM(U64:V65)</f>
        <v>49343.747560924588</v>
      </c>
      <c r="M84" s="48">
        <f>SUM(W64:X65)</f>
        <v>49086.965228222405</v>
      </c>
      <c r="N84" s="52">
        <f>SUM(Y64:Z65)</f>
        <v>29214.448994233917</v>
      </c>
      <c r="O84" s="2"/>
      <c r="P84" s="2">
        <f>SUM(C84:N84)</f>
        <v>13475212.938064672</v>
      </c>
      <c r="Q84" s="2"/>
      <c r="R84" s="13"/>
    </row>
    <row r="85" spans="1:18" x14ac:dyDescent="0.25">
      <c r="A85" s="150"/>
      <c r="B85" s="7" t="s">
        <v>8</v>
      </c>
      <c r="C85" s="46">
        <f>SUM(C66:D67)</f>
        <v>183303.23195169101</v>
      </c>
      <c r="D85" s="48">
        <f>SUM(E66:F67)</f>
        <v>11848491.773588402</v>
      </c>
      <c r="E85" s="48">
        <f>SUM(G66:H67)</f>
        <v>460235.93699616712</v>
      </c>
      <c r="F85" s="50">
        <f>SUM(I66:J67)</f>
        <v>450341.58017343999</v>
      </c>
      <c r="G85" s="48">
        <f>SUM(K66:L67)</f>
        <v>59901.80742383196</v>
      </c>
      <c r="H85" s="48">
        <f>SUM(M66:N67)</f>
        <v>10896551.745555244</v>
      </c>
      <c r="I85" s="48">
        <f>SUM(O66:P67)</f>
        <v>142537.21418508011</v>
      </c>
      <c r="J85" s="50">
        <f>SUM(Q66:R67)</f>
        <v>103246.77512628505</v>
      </c>
      <c r="K85" s="48">
        <f>SUM(S66:T67)</f>
        <v>81381.414376950808</v>
      </c>
      <c r="L85" s="48">
        <f>SUM(U66:V67)</f>
        <v>3234358.2507253494</v>
      </c>
      <c r="M85" s="48">
        <f>SUM(W66:X67)</f>
        <v>169084.87369592924</v>
      </c>
      <c r="N85" s="52">
        <f>SUM(Y66:Z67)</f>
        <v>141320.42833488347</v>
      </c>
      <c r="O85" s="2"/>
      <c r="P85" s="2">
        <f t="shared" ref="P85:P88" si="24">SUM(C85:N85)</f>
        <v>27770755.032133263</v>
      </c>
      <c r="Q85" s="2"/>
      <c r="R85" s="13"/>
    </row>
    <row r="86" spans="1:18" x14ac:dyDescent="0.25">
      <c r="A86" s="150"/>
      <c r="B86" s="7" t="s">
        <v>9</v>
      </c>
      <c r="C86" s="46">
        <f>SUM(C68:D69)</f>
        <v>165820.43302817448</v>
      </c>
      <c r="D86" s="48">
        <f>SUM(E68:F69)</f>
        <v>507905.86158084695</v>
      </c>
      <c r="E86" s="48">
        <f>SUM(G68:H69)</f>
        <v>3038225.9667235413</v>
      </c>
      <c r="F86" s="50">
        <f>SUM(I68:J69)</f>
        <v>301715.69395051856</v>
      </c>
      <c r="G86" s="48">
        <f>SUM(K68:L69)</f>
        <v>107693.49765223646</v>
      </c>
      <c r="H86" s="48">
        <f>SUM(M69:N70)</f>
        <v>251069.05476244129</v>
      </c>
      <c r="I86" s="48">
        <f>SUM(O68:P69)</f>
        <v>2460568.7383109094</v>
      </c>
      <c r="J86" s="50">
        <f>SUM(Q68:R69)</f>
        <v>63933.815293891908</v>
      </c>
      <c r="K86" s="48">
        <f>SUM(S68:T69)</f>
        <v>56434.508913730984</v>
      </c>
      <c r="L86" s="48">
        <f>SUM(U68:V69)</f>
        <v>68655.092616629423</v>
      </c>
      <c r="M86" s="48">
        <f>SUM(W68:X69)</f>
        <v>840231.12928214227</v>
      </c>
      <c r="N86" s="52">
        <f>SUM(Y68:Z69)</f>
        <v>70790.041735521154</v>
      </c>
      <c r="O86" s="2"/>
      <c r="P86" s="2">
        <f t="shared" si="24"/>
        <v>7933043.8338505849</v>
      </c>
      <c r="Q86" s="2"/>
      <c r="R86" s="13"/>
    </row>
    <row r="87" spans="1:18" x14ac:dyDescent="0.25">
      <c r="A87" s="150"/>
      <c r="B87" s="7" t="s">
        <v>0</v>
      </c>
      <c r="C87" s="46">
        <f>SUM(C70:D71)</f>
        <v>141471.7475934602</v>
      </c>
      <c r="D87" s="48">
        <f>SUM(E70:F71)</f>
        <v>451716.41274407267</v>
      </c>
      <c r="E87" s="48">
        <f>SUM(G70:H71)</f>
        <v>408360.19442335435</v>
      </c>
      <c r="F87" s="50">
        <f>SUM(I70:J71)</f>
        <v>1927401.2160873346</v>
      </c>
      <c r="G87" s="48">
        <f>SUM(K70:L71)</f>
        <v>57371.928441210934</v>
      </c>
      <c r="H87" s="48">
        <f>SUM(M70:N71)</f>
        <v>146562.87179932967</v>
      </c>
      <c r="I87" s="48">
        <f>SUM(O70:P71)</f>
        <v>101010.3175627556</v>
      </c>
      <c r="J87" s="50">
        <f>SUM(Q70:R71)</f>
        <v>2073967.3734819577</v>
      </c>
      <c r="K87" s="48">
        <f>SUM(S70:T71)</f>
        <v>31590.26687950694</v>
      </c>
      <c r="L87" s="48">
        <f>SUM(U70:V71)</f>
        <v>47652.665043096305</v>
      </c>
      <c r="M87" s="48">
        <f>SUM(W70:X71)</f>
        <v>35532.123519709101</v>
      </c>
      <c r="N87" s="52">
        <f>SUM(Y70:Z71)</f>
        <v>580659.61831036035</v>
      </c>
      <c r="O87" s="2"/>
      <c r="P87" s="2">
        <f t="shared" si="24"/>
        <v>6003296.7358861491</v>
      </c>
      <c r="Q87" s="2"/>
      <c r="R87" s="13"/>
    </row>
    <row r="88" spans="1:18" x14ac:dyDescent="0.25">
      <c r="A88" s="57"/>
      <c r="B88" s="7" t="s">
        <v>2</v>
      </c>
      <c r="C88" s="47">
        <f>SUM(C72:D72)</f>
        <v>7449828.5891819866</v>
      </c>
      <c r="D88" s="49">
        <f>SUM(E72:F72)</f>
        <v>14763270.907550735</v>
      </c>
      <c r="E88" s="49">
        <f>SUM(G72:H72)</f>
        <v>3845397.4757346725</v>
      </c>
      <c r="F88" s="51">
        <f>SUM(I72:J72)</f>
        <v>3100061.9108326789</v>
      </c>
      <c r="G88" s="49">
        <f>SUM(K72:L72)</f>
        <v>0</v>
      </c>
      <c r="H88" s="49">
        <f>SUM(M72:N72)</f>
        <v>0</v>
      </c>
      <c r="I88" s="49">
        <f>SUM(O72:P72)</f>
        <v>0</v>
      </c>
      <c r="J88" s="51">
        <f>SUM(Q72:R72)</f>
        <v>0</v>
      </c>
      <c r="K88" s="49">
        <f>SUM(S72:T72)</f>
        <v>0</v>
      </c>
      <c r="L88" s="49">
        <f>SUM(U72:V72)</f>
        <v>0</v>
      </c>
      <c r="M88" s="49">
        <f>SUM(W72:X72)</f>
        <v>0</v>
      </c>
      <c r="N88" s="53">
        <f>SUM(Y72:Z72)</f>
        <v>0</v>
      </c>
      <c r="O88" s="2"/>
      <c r="P88" s="2">
        <f t="shared" si="24"/>
        <v>29158558.883300073</v>
      </c>
      <c r="Q88" s="2"/>
      <c r="R88" s="13"/>
    </row>
    <row r="89" spans="1:18" x14ac:dyDescent="0.25">
      <c r="A89" s="14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7">
        <f>SUM(P84:P88)</f>
        <v>84340867.423234731</v>
      </c>
      <c r="Q89" s="2"/>
      <c r="R89" s="13"/>
    </row>
    <row r="90" spans="1:18" x14ac:dyDescent="0.25">
      <c r="A90" s="14"/>
      <c r="B90" s="9" t="s">
        <v>12</v>
      </c>
      <c r="C90" s="2">
        <f>SUM(C84:C88)</f>
        <v>13475212.938071486</v>
      </c>
      <c r="D90" s="2">
        <f t="shared" ref="D90:N90" si="25">SUM(D84:D88)</f>
        <v>27770755.032137435</v>
      </c>
      <c r="E90" s="2">
        <f t="shared" si="25"/>
        <v>7933043.8338463791</v>
      </c>
      <c r="F90" s="2">
        <f t="shared" si="25"/>
        <v>6003296.7358794818</v>
      </c>
      <c r="G90" s="2">
        <f t="shared" si="25"/>
        <v>6069276.4055192266</v>
      </c>
      <c r="H90" s="2">
        <f t="shared" si="25"/>
        <v>11363261.151588723</v>
      </c>
      <c r="I90" s="2">
        <f t="shared" si="25"/>
        <v>2751462.3840119871</v>
      </c>
      <c r="J90" s="2">
        <f t="shared" si="25"/>
        <v>2278077.373464026</v>
      </c>
      <c r="K90" s="2">
        <f t="shared" si="25"/>
        <v>1380552.1836689888</v>
      </c>
      <c r="L90" s="2">
        <f t="shared" si="25"/>
        <v>3400009.7559459996</v>
      </c>
      <c r="M90" s="2">
        <f t="shared" si="25"/>
        <v>1093935.091726003</v>
      </c>
      <c r="N90" s="2">
        <f t="shared" si="25"/>
        <v>821984.53737499891</v>
      </c>
      <c r="O90" s="7">
        <f>SUM(C90:N90)</f>
        <v>84340867.423234746</v>
      </c>
      <c r="P90" s="2"/>
      <c r="Q90" s="2"/>
      <c r="R90" s="13"/>
    </row>
    <row r="91" spans="1:18" x14ac:dyDescent="0.25">
      <c r="A91" s="19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1"/>
    </row>
  </sheetData>
  <mergeCells count="16">
    <mergeCell ref="A84:A87"/>
    <mergeCell ref="C62:J62"/>
    <mergeCell ref="K62:R62"/>
    <mergeCell ref="S62:Z62"/>
    <mergeCell ref="A64:A71"/>
    <mergeCell ref="C81:N81"/>
    <mergeCell ref="C82:F82"/>
    <mergeCell ref="G82:J82"/>
    <mergeCell ref="K82:N82"/>
    <mergeCell ref="C4:Z4"/>
    <mergeCell ref="C5:J5"/>
    <mergeCell ref="K5:R5"/>
    <mergeCell ref="S5:Z5"/>
    <mergeCell ref="A7:A14"/>
    <mergeCell ref="O40:R40"/>
    <mergeCell ref="W40:Z4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96"/>
  <sheetViews>
    <sheetView topLeftCell="A64" zoomScaleNormal="100" workbookViewId="0">
      <pane xSplit="2" topLeftCell="C1" activePane="topRight" state="frozen"/>
      <selection pane="topRight" activeCell="C60" sqref="C60"/>
    </sheetView>
  </sheetViews>
  <sheetFormatPr defaultRowHeight="15" x14ac:dyDescent="0.25"/>
  <cols>
    <col min="1" max="1" width="19" bestFit="1" customWidth="1"/>
    <col min="2" max="2" width="77.5703125" bestFit="1" customWidth="1"/>
    <col min="3" max="3" width="19" bestFit="1" customWidth="1"/>
    <col min="4" max="7" width="13.85546875" customWidth="1"/>
    <col min="8" max="8" width="16.85546875" bestFit="1" customWidth="1"/>
    <col min="9" max="16" width="13.85546875" customWidth="1"/>
    <col min="17" max="17" width="14.85546875" bestFit="1" customWidth="1"/>
    <col min="18" max="26" width="13.85546875" customWidth="1"/>
    <col min="27" max="29" width="15.28515625" bestFit="1" customWidth="1"/>
    <col min="30" max="30" width="13.28515625" bestFit="1" customWidth="1"/>
    <col min="31" max="31" width="12.7109375" bestFit="1" customWidth="1"/>
    <col min="32" max="32" width="12" bestFit="1" customWidth="1"/>
  </cols>
  <sheetData>
    <row r="1" spans="1:31" ht="18.75" x14ac:dyDescent="0.3">
      <c r="A1" s="6" t="s">
        <v>157</v>
      </c>
    </row>
    <row r="3" spans="1:31" x14ac:dyDescent="0.25">
      <c r="A3" s="59" t="s">
        <v>82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5"/>
    </row>
    <row r="4" spans="1:31" x14ac:dyDescent="0.25">
      <c r="A4" s="14"/>
      <c r="B4" s="2"/>
      <c r="C4" s="152" t="s">
        <v>27</v>
      </c>
      <c r="D4" s="152"/>
      <c r="E4" s="152"/>
      <c r="F4" s="152"/>
      <c r="G4" s="152"/>
      <c r="H4" s="152"/>
      <c r="I4" s="152"/>
      <c r="J4" s="152"/>
      <c r="K4" s="152"/>
      <c r="L4" s="152"/>
      <c r="M4" s="152"/>
      <c r="N4" s="152"/>
      <c r="O4" s="152"/>
      <c r="P4" s="152"/>
      <c r="Q4" s="152"/>
      <c r="R4" s="152"/>
      <c r="S4" s="152"/>
      <c r="T4" s="152"/>
      <c r="U4" s="152"/>
      <c r="V4" s="152"/>
      <c r="W4" s="152"/>
      <c r="X4" s="152"/>
      <c r="Y4" s="152"/>
      <c r="Z4" s="152"/>
      <c r="AA4" s="2"/>
      <c r="AB4" s="7" t="s">
        <v>29</v>
      </c>
      <c r="AC4" s="7" t="s">
        <v>39</v>
      </c>
      <c r="AD4" s="2"/>
      <c r="AE4" s="13"/>
    </row>
    <row r="5" spans="1:31" ht="15" customHeight="1" x14ac:dyDescent="0.25">
      <c r="A5" s="14"/>
      <c r="B5" s="2"/>
      <c r="C5" s="157" t="s">
        <v>26</v>
      </c>
      <c r="D5" s="158"/>
      <c r="E5" s="158"/>
      <c r="F5" s="158"/>
      <c r="G5" s="158"/>
      <c r="H5" s="158"/>
      <c r="I5" s="158"/>
      <c r="J5" s="159"/>
      <c r="K5" s="157" t="s">
        <v>5</v>
      </c>
      <c r="L5" s="158"/>
      <c r="M5" s="158"/>
      <c r="N5" s="158"/>
      <c r="O5" s="158"/>
      <c r="P5" s="158"/>
      <c r="Q5" s="158"/>
      <c r="R5" s="159"/>
      <c r="S5" s="157" t="s">
        <v>3</v>
      </c>
      <c r="T5" s="158"/>
      <c r="U5" s="158"/>
      <c r="V5" s="158"/>
      <c r="W5" s="158"/>
      <c r="X5" s="158"/>
      <c r="Y5" s="158"/>
      <c r="Z5" s="160"/>
      <c r="AA5" s="2"/>
      <c r="AB5" s="2"/>
      <c r="AC5" s="2"/>
      <c r="AD5" s="2"/>
      <c r="AE5" s="13"/>
    </row>
    <row r="6" spans="1:31" ht="15.75" thickBot="1" x14ac:dyDescent="0.3">
      <c r="A6" s="14"/>
      <c r="B6" s="2"/>
      <c r="C6" s="23" t="s">
        <v>14</v>
      </c>
      <c r="D6" s="24" t="s">
        <v>22</v>
      </c>
      <c r="E6" s="24" t="s">
        <v>15</v>
      </c>
      <c r="F6" s="24" t="s">
        <v>23</v>
      </c>
      <c r="G6" s="24" t="s">
        <v>16</v>
      </c>
      <c r="H6" s="24" t="s">
        <v>24</v>
      </c>
      <c r="I6" s="24" t="s">
        <v>17</v>
      </c>
      <c r="J6" s="25" t="s">
        <v>25</v>
      </c>
      <c r="K6" s="23" t="s">
        <v>14</v>
      </c>
      <c r="L6" s="24" t="s">
        <v>22</v>
      </c>
      <c r="M6" s="24" t="s">
        <v>15</v>
      </c>
      <c r="N6" s="24" t="s">
        <v>23</v>
      </c>
      <c r="O6" s="24" t="s">
        <v>16</v>
      </c>
      <c r="P6" s="24" t="s">
        <v>24</v>
      </c>
      <c r="Q6" s="24" t="s">
        <v>17</v>
      </c>
      <c r="R6" s="25" t="s">
        <v>25</v>
      </c>
      <c r="S6" s="23" t="s">
        <v>14</v>
      </c>
      <c r="T6" s="24" t="s">
        <v>22</v>
      </c>
      <c r="U6" s="24" t="s">
        <v>15</v>
      </c>
      <c r="V6" s="24" t="s">
        <v>23</v>
      </c>
      <c r="W6" s="24" t="s">
        <v>16</v>
      </c>
      <c r="X6" s="24" t="s">
        <v>24</v>
      </c>
      <c r="Y6" s="24" t="s">
        <v>17</v>
      </c>
      <c r="Z6" s="38" t="s">
        <v>25</v>
      </c>
      <c r="AA6" s="2"/>
      <c r="AB6" s="2"/>
      <c r="AC6" s="2"/>
      <c r="AD6" s="2"/>
      <c r="AE6" s="13"/>
    </row>
    <row r="7" spans="1:31" ht="15.75" thickTop="1" x14ac:dyDescent="0.25">
      <c r="A7" s="161" t="s">
        <v>43</v>
      </c>
      <c r="B7" s="22" t="s">
        <v>14</v>
      </c>
      <c r="C7" s="83">
        <f>'BenchBalanced-1995'!C53</f>
        <v>5584844.0888938438</v>
      </c>
      <c r="D7" s="84">
        <v>0</v>
      </c>
      <c r="E7" s="84">
        <v>0</v>
      </c>
      <c r="F7" s="84">
        <v>0</v>
      </c>
      <c r="G7" s="85">
        <v>0</v>
      </c>
      <c r="H7" s="85">
        <v>0</v>
      </c>
      <c r="I7" s="85">
        <v>0</v>
      </c>
      <c r="J7" s="86">
        <v>0</v>
      </c>
      <c r="K7" s="83">
        <f>'BenchBalanced-1995'!G53</f>
        <v>5867262.4424776854</v>
      </c>
      <c r="L7" s="84">
        <v>0</v>
      </c>
      <c r="M7" s="84">
        <v>0</v>
      </c>
      <c r="N7" s="84">
        <v>0</v>
      </c>
      <c r="O7" s="85">
        <v>0</v>
      </c>
      <c r="P7" s="85">
        <v>0</v>
      </c>
      <c r="Q7" s="85">
        <v>0</v>
      </c>
      <c r="R7" s="86">
        <v>0</v>
      </c>
      <c r="S7" s="83">
        <f>'BenchBalanced-1995'!K53</f>
        <v>1228430.404399208</v>
      </c>
      <c r="T7" s="84">
        <v>0</v>
      </c>
      <c r="U7" s="84">
        <v>0</v>
      </c>
      <c r="V7" s="84">
        <v>0</v>
      </c>
      <c r="W7" s="85">
        <v>0</v>
      </c>
      <c r="X7" s="85">
        <v>0</v>
      </c>
      <c r="Y7" s="85">
        <v>0</v>
      </c>
      <c r="Z7" s="87">
        <v>0</v>
      </c>
      <c r="AA7" s="62"/>
      <c r="AB7" s="62">
        <f>SUM(C7:Z7)</f>
        <v>12680536.935770739</v>
      </c>
      <c r="AC7" s="62">
        <f>C44-AC8</f>
        <v>12702484.642440055</v>
      </c>
      <c r="AD7" s="114"/>
      <c r="AE7" s="13"/>
    </row>
    <row r="8" spans="1:31" x14ac:dyDescent="0.25">
      <c r="A8" s="161"/>
      <c r="B8" s="22" t="s">
        <v>18</v>
      </c>
      <c r="C8" s="83">
        <v>0</v>
      </c>
      <c r="D8" s="84">
        <v>0</v>
      </c>
      <c r="E8" s="84">
        <v>0</v>
      </c>
      <c r="F8" s="84">
        <f>'BenchBalanced-1995'!D53</f>
        <v>255279.65553429612</v>
      </c>
      <c r="G8" s="84">
        <v>0</v>
      </c>
      <c r="H8" s="84">
        <f>'BenchBalanced-1995'!E53</f>
        <v>101767.42729966232</v>
      </c>
      <c r="I8" s="84">
        <v>0</v>
      </c>
      <c r="J8" s="86">
        <f>'BenchBalanced-1995'!F53</f>
        <v>181141.27996116076</v>
      </c>
      <c r="K8" s="83">
        <v>0</v>
      </c>
      <c r="L8" s="84">
        <v>0</v>
      </c>
      <c r="M8" s="84">
        <v>0</v>
      </c>
      <c r="N8" s="84">
        <f>'BenchBalanced-1995'!H35</f>
        <v>93673.103677839434</v>
      </c>
      <c r="O8" s="84">
        <v>0</v>
      </c>
      <c r="P8" s="84">
        <f>'BenchBalanced-1995'!I35</f>
        <v>26263.156265772657</v>
      </c>
      <c r="Q8" s="84">
        <v>0</v>
      </c>
      <c r="R8" s="86">
        <f>'BenchBalanced-1995'!J53</f>
        <v>30185.464546718667</v>
      </c>
      <c r="S8" s="83">
        <v>0</v>
      </c>
      <c r="T8" s="84">
        <v>0</v>
      </c>
      <c r="U8" s="84">
        <v>0</v>
      </c>
      <c r="V8" s="84">
        <f>'BenchBalanced-1995'!L53</f>
        <v>57433.616809549116</v>
      </c>
      <c r="W8" s="84">
        <v>0</v>
      </c>
      <c r="X8" s="84">
        <f>'BenchBalanced-1995'!M53</f>
        <v>25175.577535009244</v>
      </c>
      <c r="Y8" s="84">
        <v>0</v>
      </c>
      <c r="Z8" s="87">
        <f>'BenchBalanced-1995'!N53</f>
        <v>23756.720662737436</v>
      </c>
      <c r="AA8" s="62"/>
      <c r="AB8" s="62">
        <f t="shared" ref="AB8:AB15" si="0">SUM(C8:Z8)</f>
        <v>794676.00229274563</v>
      </c>
      <c r="AC8" s="134">
        <f>C32+C38</f>
        <v>794676.00229274551</v>
      </c>
      <c r="AD8" s="114"/>
      <c r="AE8" s="77"/>
    </row>
    <row r="9" spans="1:31" x14ac:dyDescent="0.25">
      <c r="A9" s="161"/>
      <c r="B9" s="22" t="s">
        <v>15</v>
      </c>
      <c r="C9" s="83">
        <v>0</v>
      </c>
      <c r="D9" s="84">
        <v>0</v>
      </c>
      <c r="E9" s="84">
        <f>'BenchBalanced-1995'!D54</f>
        <v>12167615.843802262</v>
      </c>
      <c r="F9" s="84">
        <v>0</v>
      </c>
      <c r="G9" s="88">
        <v>0</v>
      </c>
      <c r="H9" s="88">
        <v>0</v>
      </c>
      <c r="I9" s="88">
        <v>0</v>
      </c>
      <c r="J9" s="89">
        <v>0</v>
      </c>
      <c r="K9" s="83">
        <v>0</v>
      </c>
      <c r="L9" s="84">
        <v>0</v>
      </c>
      <c r="M9" s="84">
        <f>'BenchBalanced-1995'!H36</f>
        <v>11025058.379034571</v>
      </c>
      <c r="N9" s="84">
        <v>0</v>
      </c>
      <c r="O9" s="88">
        <v>0</v>
      </c>
      <c r="P9" s="88">
        <v>0</v>
      </c>
      <c r="Q9" s="88">
        <v>0</v>
      </c>
      <c r="R9" s="89">
        <v>0</v>
      </c>
      <c r="S9" s="83">
        <v>0</v>
      </c>
      <c r="T9" s="84">
        <v>0</v>
      </c>
      <c r="U9" s="84">
        <f>'BenchBalanced-1995'!L36</f>
        <v>3279969.7532823854</v>
      </c>
      <c r="V9" s="84">
        <v>0</v>
      </c>
      <c r="W9" s="88">
        <v>0</v>
      </c>
      <c r="X9" s="88">
        <v>0</v>
      </c>
      <c r="Y9" s="88">
        <v>0</v>
      </c>
      <c r="Z9" s="90">
        <v>0</v>
      </c>
      <c r="AA9" s="62"/>
      <c r="AB9" s="62">
        <f t="shared" si="0"/>
        <v>26472643.97611922</v>
      </c>
      <c r="AC9" s="62">
        <f>D44-AC10</f>
        <v>26522553.85335451</v>
      </c>
      <c r="AD9" s="114"/>
      <c r="AE9" s="77"/>
    </row>
    <row r="10" spans="1:31" x14ac:dyDescent="0.25">
      <c r="A10" s="161"/>
      <c r="B10" s="22" t="s">
        <v>19</v>
      </c>
      <c r="C10" s="83">
        <v>0</v>
      </c>
      <c r="D10" s="84">
        <f>'BenchBalanced-1995'!C54</f>
        <v>233119.08221062407</v>
      </c>
      <c r="E10" s="84">
        <v>0</v>
      </c>
      <c r="F10" s="84">
        <v>0</v>
      </c>
      <c r="G10" s="84">
        <v>0</v>
      </c>
      <c r="H10" s="84">
        <f>'BenchBalanced-1995'!E54</f>
        <v>231083.60538756629</v>
      </c>
      <c r="I10" s="84">
        <v>0</v>
      </c>
      <c r="J10" s="86">
        <f>'BenchBalanced-1995'!F54</f>
        <v>325223.43441011378</v>
      </c>
      <c r="K10" s="83">
        <v>0</v>
      </c>
      <c r="L10" s="84">
        <f>'BenchBalanced-1995'!G54</f>
        <v>84646.372236560041</v>
      </c>
      <c r="M10" s="84">
        <v>0</v>
      </c>
      <c r="N10" s="84">
        <v>0</v>
      </c>
      <c r="O10" s="84">
        <v>0</v>
      </c>
      <c r="P10" s="84">
        <f>'BenchBalanced-1995'!I36</f>
        <v>70538.684120418227</v>
      </c>
      <c r="Q10" s="84">
        <v>0</v>
      </c>
      <c r="R10" s="86">
        <f>'BenchBalanced-1995'!J54</f>
        <v>75290.209212554604</v>
      </c>
      <c r="S10" s="83">
        <v>0</v>
      </c>
      <c r="T10" s="84">
        <f>'BenchBalanced-1995'!K54</f>
        <v>98317.777547751772</v>
      </c>
      <c r="U10" s="84">
        <v>0</v>
      </c>
      <c r="V10" s="84">
        <v>0</v>
      </c>
      <c r="W10" s="84">
        <v>0</v>
      </c>
      <c r="X10" s="84">
        <f>'BenchBalanced-1995'!M54</f>
        <v>77366.78059086416</v>
      </c>
      <c r="Y10" s="84">
        <v>0</v>
      </c>
      <c r="Z10" s="87">
        <f>'BenchBalanced-1995'!N54</f>
        <v>102525.11030918248</v>
      </c>
      <c r="AA10" s="62"/>
      <c r="AB10" s="62">
        <f t="shared" si="0"/>
        <v>1298111.0560256355</v>
      </c>
      <c r="AC10" s="134">
        <f>D32+D38</f>
        <v>1298111.0560256355</v>
      </c>
      <c r="AD10" s="114"/>
      <c r="AE10" s="77"/>
    </row>
    <row r="11" spans="1:31" x14ac:dyDescent="0.25">
      <c r="A11" s="161"/>
      <c r="B11" s="78" t="s">
        <v>16</v>
      </c>
      <c r="C11" s="83">
        <v>0</v>
      </c>
      <c r="D11" s="84">
        <v>0</v>
      </c>
      <c r="E11" s="84">
        <v>0</v>
      </c>
      <c r="F11" s="84">
        <v>0</v>
      </c>
      <c r="G11" s="84">
        <f>'BenchBalanced-1995'!E55</f>
        <v>3618926.8692085594</v>
      </c>
      <c r="H11" s="84">
        <v>0</v>
      </c>
      <c r="I11" s="84">
        <v>0</v>
      </c>
      <c r="J11" s="86">
        <v>0</v>
      </c>
      <c r="K11" s="83">
        <v>0</v>
      </c>
      <c r="L11" s="84">
        <v>0</v>
      </c>
      <c r="M11" s="84">
        <v>0</v>
      </c>
      <c r="N11" s="84">
        <v>0</v>
      </c>
      <c r="O11" s="84">
        <f>'BenchBalanced-1995'!I37</f>
        <v>2621535.8816721882</v>
      </c>
      <c r="P11" s="84">
        <v>0</v>
      </c>
      <c r="Q11" s="84">
        <v>0</v>
      </c>
      <c r="R11" s="86">
        <v>0</v>
      </c>
      <c r="S11" s="83">
        <v>0</v>
      </c>
      <c r="T11" s="84">
        <v>0</v>
      </c>
      <c r="U11" s="84">
        <v>0</v>
      </c>
      <c r="V11" s="84">
        <v>0</v>
      </c>
      <c r="W11" s="84">
        <f>'BenchBalanced-1995'!M55</f>
        <v>980619.21509131265</v>
      </c>
      <c r="X11" s="84">
        <v>0</v>
      </c>
      <c r="Y11" s="84">
        <v>0</v>
      </c>
      <c r="Z11" s="87">
        <v>0</v>
      </c>
      <c r="AA11" s="62"/>
      <c r="AB11" s="62">
        <f t="shared" si="0"/>
        <v>7221081.9659720603</v>
      </c>
      <c r="AC11" s="62">
        <f>E44-AC12</f>
        <v>7252899.2863925016</v>
      </c>
      <c r="AD11" s="114"/>
      <c r="AE11" s="13"/>
    </row>
    <row r="12" spans="1:31" x14ac:dyDescent="0.25">
      <c r="A12" s="161"/>
      <c r="B12" s="78" t="s">
        <v>20</v>
      </c>
      <c r="C12" s="83">
        <v>0</v>
      </c>
      <c r="D12" s="84">
        <f>'BenchBalanced-1995'!C55</f>
        <v>88197.078054740763</v>
      </c>
      <c r="E12" s="84">
        <v>0</v>
      </c>
      <c r="F12" s="84">
        <f>'BenchBalanced-1995'!D55</f>
        <v>242652.30041768891</v>
      </c>
      <c r="G12" s="84">
        <v>0</v>
      </c>
      <c r="H12" s="84">
        <v>0</v>
      </c>
      <c r="I12" s="84">
        <v>0</v>
      </c>
      <c r="J12" s="86">
        <f>'BenchBalanced-1995'!F55</f>
        <v>91126.803253930571</v>
      </c>
      <c r="K12" s="83">
        <v>0</v>
      </c>
      <c r="L12" s="84">
        <f>'BenchBalanced-1995'!G55</f>
        <v>63645.30258842359</v>
      </c>
      <c r="M12" s="84">
        <v>0</v>
      </c>
      <c r="N12" s="84">
        <f>'BenchBalanced-1995'!H37</f>
        <v>127033.00564506746</v>
      </c>
      <c r="O12" s="84">
        <v>0</v>
      </c>
      <c r="P12" s="84">
        <v>0</v>
      </c>
      <c r="Q12" s="84">
        <v>0</v>
      </c>
      <c r="R12" s="86">
        <f>'BenchBalanced-1995'!J55</f>
        <v>19498.494512924408</v>
      </c>
      <c r="S12" s="83">
        <v>0</v>
      </c>
      <c r="T12" s="84">
        <f>'BenchBalanced-1995'!K55</f>
        <v>28514.123072725586</v>
      </c>
      <c r="U12" s="84">
        <v>0</v>
      </c>
      <c r="V12" s="84">
        <f>'BenchBalanced-1995'!L55</f>
        <v>29816.162874936439</v>
      </c>
      <c r="W12" s="84">
        <v>0</v>
      </c>
      <c r="X12" s="84">
        <v>0</v>
      </c>
      <c r="Y12" s="84">
        <v>0</v>
      </c>
      <c r="Z12" s="87">
        <f>'BenchBalanced-1995'!N55</f>
        <v>21478.597454459115</v>
      </c>
      <c r="AA12" s="62"/>
      <c r="AB12" s="62">
        <f t="shared" si="0"/>
        <v>711961.86787489709</v>
      </c>
      <c r="AC12" s="134">
        <f>E32+E38</f>
        <v>711961.86787489709</v>
      </c>
      <c r="AD12" s="114"/>
      <c r="AE12" s="77"/>
    </row>
    <row r="13" spans="1:31" x14ac:dyDescent="0.25">
      <c r="A13" s="161"/>
      <c r="B13" s="78" t="s">
        <v>17</v>
      </c>
      <c r="C13" s="83">
        <v>0</v>
      </c>
      <c r="D13" s="84">
        <v>0</v>
      </c>
      <c r="E13" s="84">
        <v>0</v>
      </c>
      <c r="F13" s="84">
        <v>0</v>
      </c>
      <c r="G13" s="84">
        <v>0</v>
      </c>
      <c r="H13" s="84">
        <v>0</v>
      </c>
      <c r="I13" s="84">
        <f>'BenchBalanced-1995'!F56</f>
        <v>2305743.3074151571</v>
      </c>
      <c r="J13" s="86">
        <v>0</v>
      </c>
      <c r="K13" s="83">
        <v>0</v>
      </c>
      <c r="L13" s="84">
        <v>0</v>
      </c>
      <c r="M13" s="84">
        <v>0</v>
      </c>
      <c r="N13" s="84">
        <v>0</v>
      </c>
      <c r="O13" s="84">
        <v>0</v>
      </c>
      <c r="P13" s="84">
        <v>0</v>
      </c>
      <c r="Q13" s="84">
        <f>'BenchBalanced-1995'!J38</f>
        <v>2153103.2051918283</v>
      </c>
      <c r="R13" s="86">
        <v>0</v>
      </c>
      <c r="S13" s="83">
        <v>0</v>
      </c>
      <c r="T13" s="84">
        <v>0</v>
      </c>
      <c r="U13" s="84">
        <v>0</v>
      </c>
      <c r="V13" s="84">
        <v>0</v>
      </c>
      <c r="W13" s="84">
        <v>0</v>
      </c>
      <c r="X13" s="84">
        <v>0</v>
      </c>
      <c r="Y13" s="84">
        <f>'BenchBalanced-1995'!N56</f>
        <v>674224.10894861992</v>
      </c>
      <c r="Z13" s="87">
        <v>0</v>
      </c>
      <c r="AA13" s="62"/>
      <c r="AB13" s="62">
        <f t="shared" si="0"/>
        <v>5133070.6215556059</v>
      </c>
      <c r="AC13" s="62">
        <f>F44-AC14</f>
        <v>5153218.4658448696</v>
      </c>
      <c r="AD13" s="114"/>
      <c r="AE13" s="77"/>
    </row>
    <row r="14" spans="1:31" x14ac:dyDescent="0.25">
      <c r="A14" s="161"/>
      <c r="B14" s="78" t="s">
        <v>21</v>
      </c>
      <c r="C14" s="83">
        <v>0</v>
      </c>
      <c r="D14" s="84">
        <f>'BenchBalanced-1995'!C56</f>
        <v>119224.09972909895</v>
      </c>
      <c r="E14" s="84">
        <v>0</v>
      </c>
      <c r="F14" s="84">
        <f>'BenchBalanced-1995'!D56</f>
        <v>341936.32484405226</v>
      </c>
      <c r="G14" s="84">
        <v>0</v>
      </c>
      <c r="H14" s="84">
        <f>'BenchBalanced-1995'!E56</f>
        <v>135868.45621229213</v>
      </c>
      <c r="I14" s="84">
        <v>0</v>
      </c>
      <c r="J14" s="86">
        <v>0</v>
      </c>
      <c r="K14" s="83">
        <v>0</v>
      </c>
      <c r="L14" s="84">
        <f>'BenchBalanced-1995'!G38</f>
        <v>53722.288216557616</v>
      </c>
      <c r="M14" s="84">
        <v>0</v>
      </c>
      <c r="N14" s="84">
        <f>'BenchBalanced-1995'!H38</f>
        <v>117496.66323124441</v>
      </c>
      <c r="O14" s="84">
        <v>0</v>
      </c>
      <c r="P14" s="84">
        <f>'BenchBalanced-1995'!I38</f>
        <v>33124.6619536082</v>
      </c>
      <c r="Q14" s="84">
        <v>0</v>
      </c>
      <c r="R14" s="86">
        <v>0</v>
      </c>
      <c r="S14" s="83">
        <v>0</v>
      </c>
      <c r="T14" s="84">
        <f>'BenchBalanced-1995'!K56</f>
        <v>25289.878649303475</v>
      </c>
      <c r="U14" s="84">
        <v>0</v>
      </c>
      <c r="V14" s="84">
        <f>'BenchBalanced-1995'!L56</f>
        <v>32790.222979128266</v>
      </c>
      <c r="W14" s="84">
        <v>0</v>
      </c>
      <c r="X14" s="84">
        <f>'BenchBalanced-1995'!M56</f>
        <v>10773.518508816824</v>
      </c>
      <c r="Y14" s="84">
        <v>0</v>
      </c>
      <c r="Z14" s="87">
        <v>0</v>
      </c>
      <c r="AA14" s="62"/>
      <c r="AB14" s="62">
        <f t="shared" si="0"/>
        <v>870226.11432410206</v>
      </c>
      <c r="AC14" s="134">
        <f>F32+F38</f>
        <v>870226.11432410218</v>
      </c>
      <c r="AD14" s="114"/>
      <c r="AE14" s="77"/>
    </row>
    <row r="15" spans="1:31" x14ac:dyDescent="0.25">
      <c r="A15" s="14"/>
      <c r="B15" s="7" t="s">
        <v>2</v>
      </c>
      <c r="C15" s="91">
        <f>'BenchBalanced-1995'!C57</f>
        <v>7449828.5891831769</v>
      </c>
      <c r="D15" s="92">
        <v>0</v>
      </c>
      <c r="E15" s="92">
        <f>'BenchBalanced-1995'!D57</f>
        <v>14763270.907539135</v>
      </c>
      <c r="F15" s="92">
        <v>0</v>
      </c>
      <c r="G15" s="92">
        <f>'BenchBalanced-1995'!E57</f>
        <v>3845397.4757382986</v>
      </c>
      <c r="H15" s="92">
        <v>0</v>
      </c>
      <c r="I15" s="92">
        <f>'BenchBalanced-1995'!F57</f>
        <v>3100061.9108391204</v>
      </c>
      <c r="J15" s="93">
        <v>0</v>
      </c>
      <c r="K15" s="91">
        <v>0</v>
      </c>
      <c r="L15" s="92">
        <v>0</v>
      </c>
      <c r="M15" s="92">
        <v>0</v>
      </c>
      <c r="N15" s="92">
        <v>0</v>
      </c>
      <c r="O15" s="92">
        <v>0</v>
      </c>
      <c r="P15" s="92">
        <v>0</v>
      </c>
      <c r="Q15" s="92">
        <v>0</v>
      </c>
      <c r="R15" s="93">
        <v>0</v>
      </c>
      <c r="S15" s="91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4">
        <v>0</v>
      </c>
      <c r="AA15" s="62"/>
      <c r="AB15" s="62">
        <f t="shared" si="0"/>
        <v>29158558.883299731</v>
      </c>
      <c r="AC15" s="62">
        <f>AB15</f>
        <v>29158558.883299731</v>
      </c>
      <c r="AD15" s="114"/>
      <c r="AE15" s="13"/>
    </row>
    <row r="16" spans="1:31" x14ac:dyDescent="0.25">
      <c r="A16" s="57"/>
      <c r="B16" s="79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71">
        <f>SUM(AB7:AB15)</f>
        <v>84340867.423234731</v>
      </c>
      <c r="AC16" s="71">
        <f>SUM(AC7:AC15)</f>
        <v>84464690.171849042</v>
      </c>
      <c r="AD16" s="114"/>
      <c r="AE16" s="13"/>
    </row>
    <row r="17" spans="1:31" x14ac:dyDescent="0.25">
      <c r="A17" s="57"/>
      <c r="B17" s="80" t="s">
        <v>28</v>
      </c>
      <c r="C17" s="62">
        <f>SUM(C7:C15)</f>
        <v>13034672.67807702</v>
      </c>
      <c r="D17" s="62">
        <f t="shared" ref="D17:Z17" si="1">SUM(D7:D15)</f>
        <v>440540.25999446376</v>
      </c>
      <c r="E17" s="62">
        <f t="shared" si="1"/>
        <v>26930886.751341395</v>
      </c>
      <c r="F17" s="62">
        <f t="shared" si="1"/>
        <v>839868.28079603729</v>
      </c>
      <c r="G17" s="62">
        <f t="shared" si="1"/>
        <v>7464324.3449468575</v>
      </c>
      <c r="H17" s="62">
        <f t="shared" si="1"/>
        <v>468719.48889952077</v>
      </c>
      <c r="I17" s="62">
        <f t="shared" si="1"/>
        <v>5405805.2182542775</v>
      </c>
      <c r="J17" s="62">
        <f t="shared" si="1"/>
        <v>597491.5176252051</v>
      </c>
      <c r="K17" s="62">
        <f t="shared" si="1"/>
        <v>5867262.4424776854</v>
      </c>
      <c r="L17" s="62">
        <f t="shared" si="1"/>
        <v>202013.96304154125</v>
      </c>
      <c r="M17" s="62">
        <f t="shared" si="1"/>
        <v>11025058.379034571</v>
      </c>
      <c r="N17" s="62">
        <f t="shared" si="1"/>
        <v>338202.77255415131</v>
      </c>
      <c r="O17" s="62">
        <f t="shared" si="1"/>
        <v>2621535.8816721882</v>
      </c>
      <c r="P17" s="62">
        <f t="shared" si="1"/>
        <v>129926.50233979909</v>
      </c>
      <c r="Q17" s="62">
        <f t="shared" si="1"/>
        <v>2153103.2051918283</v>
      </c>
      <c r="R17" s="62">
        <f t="shared" si="1"/>
        <v>124974.16827219768</v>
      </c>
      <c r="S17" s="62">
        <f t="shared" si="1"/>
        <v>1228430.404399208</v>
      </c>
      <c r="T17" s="62">
        <f t="shared" si="1"/>
        <v>152121.77926978085</v>
      </c>
      <c r="U17" s="62">
        <f t="shared" si="1"/>
        <v>3279969.7532823854</v>
      </c>
      <c r="V17" s="62">
        <f t="shared" si="1"/>
        <v>120040.00266361382</v>
      </c>
      <c r="W17" s="62">
        <f t="shared" si="1"/>
        <v>980619.21509131265</v>
      </c>
      <c r="X17" s="62">
        <f t="shared" si="1"/>
        <v>113315.87663469023</v>
      </c>
      <c r="Y17" s="62">
        <f t="shared" si="1"/>
        <v>674224.10894861992</v>
      </c>
      <c r="Z17" s="62">
        <f t="shared" si="1"/>
        <v>147760.42842637905</v>
      </c>
      <c r="AA17" s="71">
        <f>SUM(C17:Z17)</f>
        <v>84340867.423234731</v>
      </c>
      <c r="AB17" s="62"/>
      <c r="AC17" s="62"/>
      <c r="AD17" s="2"/>
      <c r="AE17" s="13"/>
    </row>
    <row r="18" spans="1:31" x14ac:dyDescent="0.25">
      <c r="A18" s="57"/>
      <c r="B18" s="80" t="s">
        <v>40</v>
      </c>
      <c r="C18" s="62">
        <f>C44-C31</f>
        <v>13034672.678077022</v>
      </c>
      <c r="D18" s="62">
        <f>C31</f>
        <v>462487.96665577812</v>
      </c>
      <c r="E18" s="62">
        <f>D44-D31</f>
        <v>26930886.751341395</v>
      </c>
      <c r="F18" s="62">
        <f>D31</f>
        <v>889778.15803874948</v>
      </c>
      <c r="G18" s="62">
        <f>E44-E31</f>
        <v>7464324.3449468585</v>
      </c>
      <c r="H18" s="62">
        <f>E31</f>
        <v>500536.80932054017</v>
      </c>
      <c r="I18" s="62">
        <f>F44-F31</f>
        <v>5405805.2182542775</v>
      </c>
      <c r="J18" s="62">
        <f>F31</f>
        <v>617639.36191469408</v>
      </c>
      <c r="K18" s="62">
        <f>C61</f>
        <v>5879782.3399786036</v>
      </c>
      <c r="L18" s="62">
        <f>C49</f>
        <v>189494.06552035955</v>
      </c>
      <c r="M18" s="62">
        <f>D61</f>
        <v>11061894.003681706</v>
      </c>
      <c r="N18" s="62">
        <f>D49</f>
        <v>301367.14791544067</v>
      </c>
      <c r="O18" s="62">
        <f>E61</f>
        <v>2638530.9183662664</v>
      </c>
      <c r="P18" s="62">
        <f>E49</f>
        <v>112931.46564612626</v>
      </c>
      <c r="Q18" s="62">
        <f>F61</f>
        <v>2162335.4775661454</v>
      </c>
      <c r="R18" s="62">
        <f>F49</f>
        <v>115741.89589811581</v>
      </c>
      <c r="S18" s="62">
        <f>C62</f>
        <v>1237858.2135347312</v>
      </c>
      <c r="T18" s="62">
        <f>C50</f>
        <v>142693.97012964817</v>
      </c>
      <c r="U18" s="62">
        <f>D62</f>
        <v>3293044.0058889086</v>
      </c>
      <c r="V18" s="62">
        <f>D50</f>
        <v>106965.75005961205</v>
      </c>
      <c r="W18" s="62">
        <f>E62</f>
        <v>995441.49881882081</v>
      </c>
      <c r="X18" s="62">
        <f>E50</f>
        <v>98493.592907343569</v>
      </c>
      <c r="Y18" s="62">
        <f>F62</f>
        <v>685139.68086411187</v>
      </c>
      <c r="Z18" s="62">
        <f>F50</f>
        <v>136844.85651097191</v>
      </c>
      <c r="AA18" s="71">
        <f>SUM(C18:Z18)</f>
        <v>84464690.171836227</v>
      </c>
      <c r="AB18" s="62"/>
      <c r="AC18" s="62"/>
      <c r="AD18" s="2"/>
      <c r="AE18" s="13"/>
    </row>
    <row r="19" spans="1:31" x14ac:dyDescent="0.25">
      <c r="A19" s="81"/>
      <c r="B19" s="82"/>
      <c r="C19" s="82"/>
      <c r="D19" s="82"/>
      <c r="E19" s="82"/>
      <c r="F19" s="82"/>
      <c r="G19" s="20"/>
      <c r="H19" s="82"/>
      <c r="I19" s="82"/>
      <c r="J19" s="82"/>
      <c r="K19" s="82"/>
      <c r="L19" s="82"/>
      <c r="M19" s="82"/>
      <c r="N19" s="82"/>
      <c r="O19" s="20"/>
      <c r="P19" s="20"/>
      <c r="Q19" s="82"/>
      <c r="R19" s="20"/>
      <c r="S19" s="82"/>
      <c r="T19" s="82"/>
      <c r="U19" s="82"/>
      <c r="V19" s="82"/>
      <c r="W19" s="20"/>
      <c r="X19" s="20"/>
      <c r="Y19" s="82"/>
      <c r="Z19" s="20"/>
      <c r="AA19" s="20"/>
      <c r="AB19" s="20"/>
      <c r="AC19" s="20"/>
      <c r="AD19" s="20"/>
      <c r="AE19" s="21"/>
    </row>
    <row r="20" spans="1:31" x14ac:dyDescent="0.25">
      <c r="A20" s="7"/>
      <c r="B20" s="5"/>
      <c r="C20" s="5"/>
      <c r="D20" s="5"/>
      <c r="E20" s="5"/>
      <c r="F20" s="5"/>
      <c r="H20" s="5"/>
      <c r="I20" s="5"/>
      <c r="J20" s="5"/>
      <c r="K20" s="5"/>
      <c r="L20" s="5"/>
      <c r="M20" s="5"/>
      <c r="N20" s="5"/>
      <c r="Q20" s="5"/>
      <c r="S20" s="5"/>
      <c r="T20" s="5"/>
      <c r="U20" s="5"/>
      <c r="V20" s="5"/>
      <c r="Y20" s="5"/>
    </row>
    <row r="21" spans="1:31" x14ac:dyDescent="0.25">
      <c r="A21" s="59" t="s">
        <v>83</v>
      </c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6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31" x14ac:dyDescent="0.25">
      <c r="A22" s="57"/>
      <c r="B22" s="79"/>
      <c r="C22" s="79"/>
      <c r="D22" s="79"/>
      <c r="E22" s="79"/>
      <c r="F22" s="79"/>
      <c r="G22" s="79"/>
      <c r="H22" s="79"/>
      <c r="I22" s="79"/>
      <c r="J22" s="79"/>
      <c r="K22" s="79"/>
      <c r="L22" s="77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31" x14ac:dyDescent="0.25">
      <c r="A23" s="57"/>
      <c r="B23" s="79"/>
      <c r="C23" s="80" t="s">
        <v>7</v>
      </c>
      <c r="D23" s="80" t="s">
        <v>8</v>
      </c>
      <c r="E23" s="80" t="s">
        <v>9</v>
      </c>
      <c r="F23" s="80" t="s">
        <v>0</v>
      </c>
      <c r="G23" s="79"/>
      <c r="H23" s="79"/>
      <c r="I23" s="79"/>
      <c r="J23" s="79"/>
      <c r="K23" s="79"/>
      <c r="L23" s="77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113"/>
    </row>
    <row r="24" spans="1:31" x14ac:dyDescent="0.25">
      <c r="A24" s="57"/>
      <c r="B24" s="97" t="s">
        <v>161</v>
      </c>
      <c r="C24" s="80"/>
      <c r="D24" s="80"/>
      <c r="E24" s="80"/>
      <c r="F24" s="80"/>
      <c r="G24" s="79"/>
      <c r="H24" s="79"/>
      <c r="I24" s="79"/>
      <c r="J24" s="79"/>
      <c r="K24" s="79"/>
      <c r="L24" s="77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113"/>
    </row>
    <row r="25" spans="1:31" x14ac:dyDescent="0.25">
      <c r="A25" s="57"/>
      <c r="B25" s="80" t="s">
        <v>151</v>
      </c>
      <c r="C25" s="142">
        <f>'BenchBalanced-1995'!C69+'BenchBalanced-1995'!C70</f>
        <v>1589352.0045985314</v>
      </c>
      <c r="D25" s="142">
        <f>'BenchBalanced-1995'!D69+'BenchBalanced-1995'!D70</f>
        <v>2596222.1120394375</v>
      </c>
      <c r="E25" s="142">
        <f>'BenchBalanced-1995'!E69+'BenchBalanced-1995'!E70</f>
        <v>1423923.7357489071</v>
      </c>
      <c r="F25" s="142">
        <f>'BenchBalanced-1995'!F69+'BenchBalanced-1995'!F70</f>
        <v>1740452.228647884</v>
      </c>
      <c r="G25" s="79"/>
      <c r="H25" s="79"/>
      <c r="I25" s="79"/>
      <c r="J25" s="79"/>
      <c r="K25" s="79"/>
      <c r="L25" s="77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113"/>
    </row>
    <row r="26" spans="1:31" x14ac:dyDescent="0.25">
      <c r="A26" s="57"/>
      <c r="B26" s="7" t="s">
        <v>160</v>
      </c>
      <c r="C26" s="114">
        <f>'BenchmarkIOMatrix-2011'!C55</f>
        <v>0.64342199409156398</v>
      </c>
      <c r="D26" s="114">
        <f>'BenchmarkIOMatrix-2011'!D55</f>
        <v>0.66601164410061842</v>
      </c>
      <c r="E26" s="114">
        <f>'BenchmarkIOMatrix-2011'!E55</f>
        <v>0.67021167462033604</v>
      </c>
      <c r="F26" s="114">
        <f>'BenchmarkIOMatrix-2011'!F55</f>
        <v>0.70948002287251855</v>
      </c>
      <c r="G26" s="79"/>
      <c r="H26" s="79"/>
      <c r="I26" s="79"/>
      <c r="J26" s="79"/>
      <c r="K26" s="79"/>
      <c r="L26" s="77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113"/>
    </row>
    <row r="27" spans="1:31" x14ac:dyDescent="0.25">
      <c r="A27" s="57"/>
      <c r="B27" s="7" t="s">
        <v>159</v>
      </c>
      <c r="C27" s="114">
        <f>C26*C25</f>
        <v>1022624.0361122116</v>
      </c>
      <c r="D27" s="114">
        <f t="shared" ref="D27:F27" si="2">D26*D25</f>
        <v>1729114.1572897658</v>
      </c>
      <c r="E27" s="114">
        <f t="shared" si="2"/>
        <v>954330.31146791985</v>
      </c>
      <c r="F27" s="114">
        <f t="shared" si="2"/>
        <v>1234816.0869896265</v>
      </c>
      <c r="G27" s="79"/>
      <c r="H27" s="79"/>
      <c r="I27" s="79"/>
      <c r="J27" s="79"/>
      <c r="K27" s="79"/>
      <c r="L27" s="77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113"/>
    </row>
    <row r="28" spans="1:31" x14ac:dyDescent="0.25">
      <c r="A28" s="57"/>
      <c r="B28" s="7"/>
      <c r="C28" s="114"/>
      <c r="D28" s="114"/>
      <c r="E28" s="114"/>
      <c r="F28" s="114"/>
      <c r="G28" s="79"/>
      <c r="H28" s="79"/>
      <c r="I28" s="79"/>
      <c r="J28" s="79"/>
      <c r="K28" s="79"/>
      <c r="L28" s="77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113"/>
    </row>
    <row r="29" spans="1:31" x14ac:dyDescent="0.25">
      <c r="A29" s="57"/>
      <c r="B29" s="123" t="s">
        <v>164</v>
      </c>
      <c r="C29" s="114"/>
      <c r="D29" s="114"/>
      <c r="E29" s="114"/>
      <c r="F29" s="114"/>
      <c r="G29" s="79"/>
      <c r="H29" s="79"/>
      <c r="I29" s="79"/>
      <c r="J29" s="79"/>
      <c r="K29" s="79"/>
      <c r="L29" s="77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113"/>
    </row>
    <row r="30" spans="1:31" x14ac:dyDescent="0.25">
      <c r="A30" s="57"/>
      <c r="B30" s="7" t="s">
        <v>163</v>
      </c>
      <c r="C30" s="114">
        <f>'BenchBalanced-1995'!C81</f>
        <v>97648.102800655412</v>
      </c>
      <c r="D30" s="114">
        <f>'BenchBalanced-1995'!D81</f>
        <v>-50442.158787733177</v>
      </c>
      <c r="E30" s="114">
        <f>'BenchBalanced-1995'!E81</f>
        <v>-46743.307173160487</v>
      </c>
      <c r="F30" s="114">
        <f>'BenchBalanced-1995'!F81</f>
        <v>-462.63683976174798</v>
      </c>
      <c r="G30" s="79"/>
      <c r="H30" s="79"/>
      <c r="I30" s="79"/>
      <c r="J30" s="79"/>
      <c r="K30" s="79"/>
      <c r="L30" s="77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113"/>
    </row>
    <row r="31" spans="1:31" x14ac:dyDescent="0.25">
      <c r="A31" s="57"/>
      <c r="B31" s="7" t="s">
        <v>168</v>
      </c>
      <c r="C31" s="114">
        <f>(C27-C30)/2</f>
        <v>462487.96665577812</v>
      </c>
      <c r="D31" s="114">
        <f>(D27-D30)/2</f>
        <v>889778.15803874948</v>
      </c>
      <c r="E31" s="114">
        <f>(E27-E30)/2</f>
        <v>500536.80932054017</v>
      </c>
      <c r="F31" s="114">
        <f>(F27-F30)/2</f>
        <v>617639.36191469408</v>
      </c>
      <c r="G31" s="79"/>
      <c r="H31" s="79"/>
      <c r="I31" s="79"/>
      <c r="J31" s="79"/>
      <c r="K31" s="79"/>
      <c r="L31" s="77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113"/>
    </row>
    <row r="32" spans="1:31" ht="16.5" customHeight="1" x14ac:dyDescent="0.25">
      <c r="A32" s="57"/>
      <c r="B32" s="80" t="s">
        <v>169</v>
      </c>
      <c r="C32" s="79">
        <f>C27-C31</f>
        <v>560136.06945643353</v>
      </c>
      <c r="D32" s="79">
        <f>D27-D31</f>
        <v>839335.9992510163</v>
      </c>
      <c r="E32" s="79">
        <f>E27-E31</f>
        <v>453793.50214737968</v>
      </c>
      <c r="F32" s="79">
        <f>F27-F31</f>
        <v>617176.72507493244</v>
      </c>
      <c r="G32" s="79"/>
      <c r="H32" s="79"/>
      <c r="I32" s="79"/>
      <c r="J32" s="79"/>
      <c r="K32" s="79"/>
      <c r="L32" s="77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6.5" customHeight="1" x14ac:dyDescent="0.25">
      <c r="A33" s="57"/>
      <c r="B33" s="80"/>
      <c r="C33" s="79"/>
      <c r="D33" s="79"/>
      <c r="E33" s="79"/>
      <c r="F33" s="79"/>
      <c r="G33" s="79"/>
      <c r="H33" s="79"/>
      <c r="I33" s="79"/>
      <c r="J33" s="79"/>
      <c r="K33" s="79"/>
      <c r="L33" s="77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6.5" customHeight="1" x14ac:dyDescent="0.25">
      <c r="A34" s="57"/>
      <c r="B34" s="97" t="s">
        <v>100</v>
      </c>
      <c r="C34" s="79"/>
      <c r="D34" s="79"/>
      <c r="E34" s="79"/>
      <c r="F34" s="79"/>
      <c r="G34" s="79"/>
      <c r="H34" s="79"/>
      <c r="I34" s="79"/>
      <c r="J34" s="79"/>
      <c r="K34" s="79"/>
      <c r="L34" s="77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6.5" customHeight="1" x14ac:dyDescent="0.25">
      <c r="A35" s="57"/>
      <c r="B35" s="80" t="s">
        <v>165</v>
      </c>
      <c r="C35" s="79">
        <f>'BenchBalanced-1995'!C91</f>
        <v>-97648.102813695674</v>
      </c>
      <c r="D35" s="79">
        <f>'BenchBalanced-1995'!D91</f>
        <v>50442.158799566329</v>
      </c>
      <c r="E35" s="79">
        <f>'BenchBalanced-1995'!E91</f>
        <v>46743.307174047572</v>
      </c>
      <c r="F35" s="79">
        <f>'BenchBalanced-1995'!F91</f>
        <v>462.63684008200653</v>
      </c>
      <c r="G35" s="79"/>
      <c r="H35" s="79"/>
      <c r="I35" s="79"/>
      <c r="J35" s="79"/>
      <c r="K35" s="79"/>
      <c r="L35" s="77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 x14ac:dyDescent="0.25">
      <c r="A36" s="57"/>
      <c r="B36" s="80" t="s">
        <v>162</v>
      </c>
      <c r="C36" s="79">
        <f>C25-C27</f>
        <v>566727.96848631976</v>
      </c>
      <c r="D36" s="79">
        <f t="shared" ref="D36:F36" si="3">D25-D27</f>
        <v>867107.95474967174</v>
      </c>
      <c r="E36" s="79">
        <f t="shared" si="3"/>
        <v>469593.42428098724</v>
      </c>
      <c r="F36" s="79">
        <f t="shared" si="3"/>
        <v>505636.14165825746</v>
      </c>
      <c r="G36" s="79"/>
      <c r="H36" s="79"/>
      <c r="I36" s="79"/>
      <c r="J36" s="79"/>
      <c r="K36" s="79"/>
      <c r="L36" s="77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5.75" customHeight="1" x14ac:dyDescent="0.25">
      <c r="A37" s="57"/>
      <c r="B37" s="80" t="s">
        <v>167</v>
      </c>
      <c r="C37" s="79">
        <f>(C36-C35)/2</f>
        <v>332188.03565000772</v>
      </c>
      <c r="D37" s="79">
        <f>(D36-D35)/2</f>
        <v>408332.89797505271</v>
      </c>
      <c r="E37" s="79">
        <f>(E36-E35)/2</f>
        <v>211425.05855346983</v>
      </c>
      <c r="F37" s="79">
        <f>(F36-F35)/2</f>
        <v>252586.75240908773</v>
      </c>
      <c r="G37" s="79"/>
      <c r="H37" s="79"/>
      <c r="I37" s="79"/>
      <c r="J37" s="79"/>
      <c r="K37" s="79"/>
      <c r="L37" s="77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5.75" customHeight="1" x14ac:dyDescent="0.25">
      <c r="A38" s="57"/>
      <c r="B38" s="80" t="s">
        <v>166</v>
      </c>
      <c r="C38" s="79">
        <f>C36-C37</f>
        <v>234539.93283631204</v>
      </c>
      <c r="D38" s="79">
        <f>D36-D37</f>
        <v>458775.05677461904</v>
      </c>
      <c r="E38" s="79">
        <f>E36-E37</f>
        <v>258168.3657275174</v>
      </c>
      <c r="F38" s="79">
        <f>F36-F37</f>
        <v>253049.38924916973</v>
      </c>
      <c r="G38" s="79"/>
      <c r="H38" s="79"/>
      <c r="I38" s="79"/>
      <c r="J38" s="79"/>
      <c r="K38" s="79"/>
      <c r="L38" s="77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5.75" customHeight="1" x14ac:dyDescent="0.25">
      <c r="A39" s="57"/>
      <c r="B39" s="79"/>
      <c r="C39" s="79"/>
      <c r="D39" s="79"/>
      <c r="E39" s="79"/>
      <c r="F39" s="79"/>
      <c r="G39" s="79"/>
      <c r="H39" s="79"/>
      <c r="I39" s="79"/>
      <c r="J39" s="79"/>
      <c r="K39" s="79"/>
      <c r="L39" s="77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x14ac:dyDescent="0.25">
      <c r="A40" s="57"/>
      <c r="B40" s="97" t="s">
        <v>95</v>
      </c>
      <c r="C40" s="79"/>
      <c r="D40" s="79"/>
      <c r="E40" s="79"/>
      <c r="F40" s="79"/>
      <c r="G40" s="79"/>
      <c r="H40" s="79"/>
      <c r="I40" s="79"/>
      <c r="J40" s="79"/>
      <c r="K40" s="79"/>
      <c r="L40" s="77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x14ac:dyDescent="0.25">
      <c r="A41" s="57"/>
      <c r="B41" s="80" t="s">
        <v>170</v>
      </c>
      <c r="C41" s="79">
        <f>'BenchBalanced-1995'!C80</f>
        <v>440540.25999446376</v>
      </c>
      <c r="D41" s="79">
        <f>'BenchBalanced-1995'!D80</f>
        <v>839868.28079603729</v>
      </c>
      <c r="E41" s="79">
        <f>'BenchBalanced-1995'!E80</f>
        <v>468719.48889952077</v>
      </c>
      <c r="F41" s="79">
        <f>'BenchBalanced-1995'!F80</f>
        <v>597491.5176252051</v>
      </c>
      <c r="G41" s="79"/>
      <c r="H41" s="135"/>
      <c r="I41" s="135"/>
      <c r="J41" s="135"/>
      <c r="K41" s="135"/>
      <c r="L41" s="77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x14ac:dyDescent="0.25">
      <c r="A42" s="57"/>
      <c r="B42" s="7" t="s">
        <v>96</v>
      </c>
      <c r="C42" s="114">
        <f>C31-C41</f>
        <v>21947.706661314354</v>
      </c>
      <c r="D42" s="114">
        <f>D31-D41</f>
        <v>49909.877242712188</v>
      </c>
      <c r="E42" s="114">
        <f>E31-E41</f>
        <v>31817.320421019394</v>
      </c>
      <c r="F42" s="114">
        <f>F31-F41</f>
        <v>20147.844289488974</v>
      </c>
      <c r="G42" s="79"/>
      <c r="H42" s="79"/>
      <c r="I42" s="79"/>
      <c r="J42" s="79"/>
      <c r="K42" s="2"/>
      <c r="L42" s="13"/>
      <c r="M42" s="5"/>
      <c r="N42" s="5"/>
      <c r="O42" s="5"/>
      <c r="P42" s="5"/>
      <c r="Q42" s="5"/>
      <c r="R42" s="5"/>
      <c r="U42" s="5"/>
      <c r="V42" s="5"/>
      <c r="W42" s="5"/>
      <c r="X42" s="5"/>
      <c r="Y42" s="5"/>
      <c r="Z42" s="5"/>
    </row>
    <row r="43" spans="1:26" x14ac:dyDescent="0.25">
      <c r="A43" s="57"/>
      <c r="B43" s="7" t="s">
        <v>171</v>
      </c>
      <c r="C43" s="114">
        <f>'BenchBalanced-1995'!C66</f>
        <v>13475212.938071486</v>
      </c>
      <c r="D43" s="114">
        <f>'BenchBalanced-1995'!D66</f>
        <v>27770755.032137435</v>
      </c>
      <c r="E43" s="114">
        <f>'BenchBalanced-1995'!E66</f>
        <v>7933043.8338463791</v>
      </c>
      <c r="F43" s="114">
        <f>'BenchBalanced-1995'!F66</f>
        <v>6003296.7358794827</v>
      </c>
      <c r="G43" s="138"/>
      <c r="H43" s="2"/>
      <c r="I43" s="2"/>
      <c r="J43" s="2"/>
      <c r="K43" s="2"/>
      <c r="L43" s="13"/>
    </row>
    <row r="44" spans="1:26" x14ac:dyDescent="0.25">
      <c r="A44" s="57"/>
      <c r="B44" s="7" t="s">
        <v>104</v>
      </c>
      <c r="C44" s="114">
        <f>C43+C42</f>
        <v>13497160.644732799</v>
      </c>
      <c r="D44" s="114">
        <f>D43+D42</f>
        <v>27820664.909380145</v>
      </c>
      <c r="E44" s="114">
        <f>E43+E42</f>
        <v>7964861.1542673986</v>
      </c>
      <c r="F44" s="114">
        <f>F43+F42</f>
        <v>6023444.5801689718</v>
      </c>
      <c r="G44" s="2"/>
      <c r="H44" s="2"/>
      <c r="I44" s="2"/>
      <c r="J44" s="2"/>
      <c r="K44" s="2"/>
      <c r="L44" s="13"/>
    </row>
    <row r="45" spans="1:26" ht="13.5" customHeight="1" x14ac:dyDescent="0.25">
      <c r="A45" s="98"/>
      <c r="B45" s="79"/>
      <c r="C45" s="79"/>
      <c r="D45" s="79"/>
      <c r="E45" s="79"/>
      <c r="F45" s="79"/>
      <c r="G45" s="79"/>
      <c r="H45" s="79"/>
      <c r="I45" s="79"/>
      <c r="J45" s="79"/>
      <c r="K45" s="79"/>
      <c r="L45" s="77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x14ac:dyDescent="0.25">
      <c r="A46" s="14"/>
      <c r="B46" s="44" t="s">
        <v>97</v>
      </c>
      <c r="C46" s="2"/>
      <c r="D46" s="2"/>
      <c r="E46" s="2"/>
      <c r="F46" s="2"/>
      <c r="G46" s="2"/>
      <c r="H46" s="2"/>
      <c r="I46" s="2"/>
      <c r="J46" s="2"/>
      <c r="K46" s="2"/>
      <c r="L46" s="13"/>
    </row>
    <row r="47" spans="1:26" x14ac:dyDescent="0.25">
      <c r="A47" s="14"/>
      <c r="B47" s="43" t="s">
        <v>172</v>
      </c>
      <c r="C47" s="114">
        <f>'BenchBalanced-1995'!C100/'BenchBalanced-1995'!C90</f>
        <v>0.5704421748651114</v>
      </c>
      <c r="D47" s="114">
        <f>'BenchBalanced-1995'!D100/'BenchBalanced-1995'!D90</f>
        <v>0.73804278178402571</v>
      </c>
      <c r="E47" s="114">
        <f>'BenchBalanced-1995'!E100/'BenchBalanced-1995'!E90</f>
        <v>0.53414418526726182</v>
      </c>
      <c r="F47" s="114">
        <f>'BenchBalanced-1995'!F100/'BenchBalanced-1995'!F90</f>
        <v>0.45822631153141813</v>
      </c>
      <c r="G47" s="2"/>
      <c r="H47" s="2"/>
      <c r="I47" s="2"/>
      <c r="J47" s="2"/>
      <c r="K47" s="2"/>
      <c r="L47" s="13"/>
    </row>
    <row r="48" spans="1:26" x14ac:dyDescent="0.25">
      <c r="A48" s="14"/>
      <c r="B48" s="43" t="s">
        <v>173</v>
      </c>
      <c r="C48" s="114">
        <f>1-C47</f>
        <v>0.4295578251348886</v>
      </c>
      <c r="D48" s="114">
        <f t="shared" ref="D48:F48" si="4">1-D47</f>
        <v>0.26195721821597429</v>
      </c>
      <c r="E48" s="114">
        <f t="shared" si="4"/>
        <v>0.46585581473273818</v>
      </c>
      <c r="F48" s="114">
        <f t="shared" si="4"/>
        <v>0.54177368846858187</v>
      </c>
      <c r="G48" s="2"/>
      <c r="H48" s="2"/>
      <c r="I48" s="2"/>
      <c r="J48" s="2"/>
      <c r="K48" s="2"/>
      <c r="L48" s="13"/>
    </row>
    <row r="49" spans="1:12" x14ac:dyDescent="0.25">
      <c r="A49" s="14"/>
      <c r="B49" s="43" t="s">
        <v>174</v>
      </c>
      <c r="C49" s="114">
        <f>C47*C37</f>
        <v>189494.06552035955</v>
      </c>
      <c r="D49" s="114">
        <f t="shared" ref="D49:F49" si="5">D47*D37</f>
        <v>301367.14791544067</v>
      </c>
      <c r="E49" s="114">
        <f t="shared" si="5"/>
        <v>112931.46564612626</v>
      </c>
      <c r="F49" s="114">
        <f t="shared" si="5"/>
        <v>115741.89589811581</v>
      </c>
      <c r="G49" s="2"/>
      <c r="H49" s="2"/>
      <c r="I49" s="2"/>
      <c r="J49" s="2"/>
      <c r="K49" s="2"/>
      <c r="L49" s="13"/>
    </row>
    <row r="50" spans="1:12" x14ac:dyDescent="0.25">
      <c r="A50" s="14"/>
      <c r="B50" s="43" t="s">
        <v>175</v>
      </c>
      <c r="C50" s="114">
        <f>C48*C37</f>
        <v>142693.97012964817</v>
      </c>
      <c r="D50" s="114">
        <f t="shared" ref="D50:F50" si="6">D48*D37</f>
        <v>106965.75005961205</v>
      </c>
      <c r="E50" s="114">
        <f t="shared" si="6"/>
        <v>98493.592907343569</v>
      </c>
      <c r="F50" s="114">
        <f t="shared" si="6"/>
        <v>136844.85651097191</v>
      </c>
      <c r="G50" s="2"/>
      <c r="H50" s="2"/>
      <c r="I50" s="2"/>
      <c r="J50" s="2"/>
      <c r="K50" s="2"/>
      <c r="L50" s="13"/>
    </row>
    <row r="51" spans="1:12" x14ac:dyDescent="0.25">
      <c r="A51" s="14"/>
      <c r="B51" s="43"/>
      <c r="C51" s="114"/>
      <c r="D51" s="114"/>
      <c r="E51" s="114"/>
      <c r="F51" s="114"/>
      <c r="G51" s="2"/>
      <c r="H51" s="2"/>
      <c r="I51" s="2"/>
      <c r="J51" s="2"/>
      <c r="K51" s="2"/>
      <c r="L51" s="13"/>
    </row>
    <row r="52" spans="1:12" x14ac:dyDescent="0.25">
      <c r="A52" s="14"/>
      <c r="B52" s="44" t="s">
        <v>101</v>
      </c>
      <c r="C52" s="114"/>
      <c r="D52" s="114"/>
      <c r="E52" s="114"/>
      <c r="F52" s="114"/>
      <c r="G52" s="2"/>
      <c r="H52" s="2"/>
      <c r="I52" s="2"/>
      <c r="J52" s="2"/>
      <c r="K52" s="2"/>
      <c r="L52" s="13"/>
    </row>
    <row r="53" spans="1:12" x14ac:dyDescent="0.25">
      <c r="A53" s="14"/>
      <c r="B53" s="106" t="s">
        <v>176</v>
      </c>
      <c r="C53" s="114">
        <f>'BenchBalanced-1995'!G59</f>
        <v>6069276.4055192266</v>
      </c>
      <c r="D53" s="114">
        <f>'BenchBalanced-1995'!H59</f>
        <v>11363261.151588723</v>
      </c>
      <c r="E53" s="114">
        <f>'BenchBalanced-1995'!I59</f>
        <v>2751462.3840119871</v>
      </c>
      <c r="F53" s="114">
        <f>'BenchBalanced-1995'!J59</f>
        <v>2278077.373464026</v>
      </c>
      <c r="G53" s="2"/>
      <c r="H53" s="2"/>
      <c r="I53" s="2"/>
      <c r="J53" s="2"/>
      <c r="K53" s="2"/>
      <c r="L53" s="13"/>
    </row>
    <row r="54" spans="1:12" x14ac:dyDescent="0.25">
      <c r="A54" s="14"/>
      <c r="B54" s="106" t="s">
        <v>177</v>
      </c>
      <c r="C54" s="114">
        <f>'BenchBalanced-1995'!K59</f>
        <v>1380552.1836689888</v>
      </c>
      <c r="D54" s="114">
        <f>'BenchBalanced-1995'!L59</f>
        <v>3400009.7559459996</v>
      </c>
      <c r="E54" s="114">
        <f>'BenchBalanced-1995'!M59</f>
        <v>1093935.091726003</v>
      </c>
      <c r="F54" s="114">
        <f>'BenchBalanced-1995'!N59</f>
        <v>821984.53737499891</v>
      </c>
      <c r="G54" s="2"/>
      <c r="H54" s="2"/>
      <c r="I54" s="2"/>
      <c r="J54" s="2"/>
      <c r="K54" s="2"/>
      <c r="L54" s="13"/>
    </row>
    <row r="55" spans="1:12" x14ac:dyDescent="0.25">
      <c r="A55" s="14"/>
      <c r="B55" s="106" t="s">
        <v>122</v>
      </c>
      <c r="C55" s="114">
        <f>C32-C31+C38-C37</f>
        <v>-1.3040262274444103E-5</v>
      </c>
      <c r="D55" s="114">
        <f>D32-D31+D38-D37</f>
        <v>1.1833151802420616E-5</v>
      </c>
      <c r="E55" s="114">
        <f>E32-E31+E38-E37</f>
        <v>8.8708475232124329E-7</v>
      </c>
      <c r="F55" s="114">
        <f>-SUM(C55:E55)</f>
        <v>3.200257197022438E-7</v>
      </c>
      <c r="G55" s="2"/>
      <c r="H55" s="2"/>
      <c r="I55" s="2"/>
      <c r="J55" s="2"/>
      <c r="K55" s="2"/>
      <c r="L55" s="13"/>
    </row>
    <row r="56" spans="1:12" x14ac:dyDescent="0.25">
      <c r="A56" s="14"/>
      <c r="B56" s="106" t="s">
        <v>73</v>
      </c>
      <c r="C56" s="114">
        <f>'BenchBalanced-1995'!D71-'Alt3-Balanced-IO'!C55</f>
        <v>2.4873414076864719E-5</v>
      </c>
      <c r="D56" s="114">
        <f>'BenchBalanced-1995'!E71-'Alt3-Balanced-IO'!D55</f>
        <v>-1.0946067050099373E-5</v>
      </c>
      <c r="E56" s="114">
        <f>'BenchBalanced-1995'!F71-'Alt3-Balanced-IO'!E55</f>
        <v>-5.6682620197534561E-7</v>
      </c>
      <c r="F56" s="114">
        <f>'BenchBalanced-1995'!G71-'Alt3-Balanced-IO'!F55</f>
        <v>-3.200257197022438E-7</v>
      </c>
      <c r="G56" s="2"/>
      <c r="H56" s="2"/>
      <c r="I56" s="2"/>
      <c r="J56" s="2"/>
      <c r="K56" s="2"/>
      <c r="L56" s="13"/>
    </row>
    <row r="57" spans="1:12" x14ac:dyDescent="0.25">
      <c r="A57" s="14"/>
      <c r="B57" s="106" t="s">
        <v>107</v>
      </c>
      <c r="C57" s="79">
        <f>C53/(C53+C54)</f>
        <v>0.81468671833972717</v>
      </c>
      <c r="D57" s="79">
        <f t="shared" ref="D57:F57" si="7">D53/(D53+D54)</f>
        <v>0.76969807184052019</v>
      </c>
      <c r="E57" s="79">
        <f t="shared" si="7"/>
        <v>0.71552093154789931</v>
      </c>
      <c r="F57" s="79">
        <f t="shared" si="7"/>
        <v>0.73484899301493933</v>
      </c>
      <c r="G57" s="2"/>
      <c r="H57" s="2"/>
      <c r="I57" s="2"/>
      <c r="J57" s="2"/>
      <c r="K57" s="2"/>
      <c r="L57" s="13"/>
    </row>
    <row r="58" spans="1:12" x14ac:dyDescent="0.25">
      <c r="A58" s="14"/>
      <c r="B58" s="106" t="s">
        <v>108</v>
      </c>
      <c r="C58" s="79">
        <f>1-C57</f>
        <v>0.18531328166027283</v>
      </c>
      <c r="D58" s="79">
        <f t="shared" ref="D58:F58" si="8">1-D57</f>
        <v>0.23030192815947981</v>
      </c>
      <c r="E58" s="79">
        <f t="shared" si="8"/>
        <v>0.28447906845210069</v>
      </c>
      <c r="F58" s="79">
        <f t="shared" si="8"/>
        <v>0.26515100698506067</v>
      </c>
      <c r="G58" s="2"/>
      <c r="H58" s="2"/>
      <c r="I58" s="2"/>
      <c r="J58" s="2"/>
      <c r="K58" s="2"/>
      <c r="L58" s="13"/>
    </row>
    <row r="59" spans="1:12" x14ac:dyDescent="0.25">
      <c r="A59" s="14"/>
      <c r="B59" s="43" t="s">
        <v>139</v>
      </c>
      <c r="C59" s="114">
        <f>C53-C57*C56</f>
        <v>6069276.4054989628</v>
      </c>
      <c r="D59" s="114">
        <f t="shared" ref="D59:F59" si="9">D53-D57*D56</f>
        <v>11363261.151597148</v>
      </c>
      <c r="E59" s="114">
        <f t="shared" si="9"/>
        <v>2751462.3840123927</v>
      </c>
      <c r="F59" s="114">
        <f t="shared" si="9"/>
        <v>2278077.3734642612</v>
      </c>
      <c r="G59" s="2"/>
      <c r="H59" s="2"/>
      <c r="I59" s="2"/>
      <c r="J59" s="2"/>
      <c r="K59" s="2"/>
      <c r="L59" s="13"/>
    </row>
    <row r="60" spans="1:12" x14ac:dyDescent="0.25">
      <c r="A60" s="14"/>
      <c r="B60" s="43" t="s">
        <v>140</v>
      </c>
      <c r="C60" s="114">
        <f>C54-C58*C56</f>
        <v>1380552.1836643794</v>
      </c>
      <c r="D60" s="114">
        <f t="shared" ref="D60:F60" si="10">D54-D58*D56</f>
        <v>3400009.7559485207</v>
      </c>
      <c r="E60" s="114">
        <f t="shared" si="10"/>
        <v>1093935.0917261643</v>
      </c>
      <c r="F60" s="114">
        <f t="shared" si="10"/>
        <v>821984.53737508378</v>
      </c>
      <c r="G60" s="2"/>
      <c r="H60" s="2"/>
      <c r="I60" s="2"/>
      <c r="J60" s="2"/>
      <c r="K60" s="2"/>
      <c r="L60" s="13"/>
    </row>
    <row r="61" spans="1:12" x14ac:dyDescent="0.25">
      <c r="A61" s="14"/>
      <c r="B61" s="106" t="s">
        <v>141</v>
      </c>
      <c r="C61" s="114">
        <f>C59-C49</f>
        <v>5879782.3399786036</v>
      </c>
      <c r="D61" s="114">
        <f t="shared" ref="D61:F62" si="11">D59-D49</f>
        <v>11061894.003681706</v>
      </c>
      <c r="E61" s="114">
        <f t="shared" si="11"/>
        <v>2638530.9183662664</v>
      </c>
      <c r="F61" s="114">
        <f t="shared" si="11"/>
        <v>2162335.4775661454</v>
      </c>
      <c r="G61" s="2"/>
      <c r="H61" s="2"/>
      <c r="I61" s="2"/>
      <c r="J61" s="2"/>
      <c r="K61" s="2"/>
      <c r="L61" s="13"/>
    </row>
    <row r="62" spans="1:12" x14ac:dyDescent="0.25">
      <c r="A62" s="14"/>
      <c r="B62" s="106" t="s">
        <v>142</v>
      </c>
      <c r="C62" s="114">
        <f>C60-C50</f>
        <v>1237858.2135347312</v>
      </c>
      <c r="D62" s="114">
        <f t="shared" si="11"/>
        <v>3293044.0058889086</v>
      </c>
      <c r="E62" s="114">
        <f t="shared" si="11"/>
        <v>995441.49881882081</v>
      </c>
      <c r="F62" s="114">
        <f t="shared" si="11"/>
        <v>685139.68086411187</v>
      </c>
      <c r="G62" s="2"/>
      <c r="H62" s="2"/>
      <c r="I62" s="2"/>
      <c r="J62" s="2"/>
      <c r="K62" s="2"/>
      <c r="L62" s="13"/>
    </row>
    <row r="63" spans="1:12" x14ac:dyDescent="0.25">
      <c r="A63" s="14"/>
      <c r="B63" s="44"/>
      <c r="C63" s="114"/>
      <c r="D63" s="114"/>
      <c r="E63" s="114"/>
      <c r="F63" s="114"/>
      <c r="G63" s="2"/>
      <c r="H63" s="2"/>
      <c r="I63" s="2"/>
      <c r="J63" s="2"/>
      <c r="K63" s="2"/>
      <c r="L63" s="13"/>
    </row>
    <row r="65" spans="1:30" x14ac:dyDescent="0.25">
      <c r="A65" s="59" t="s">
        <v>84</v>
      </c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5"/>
    </row>
    <row r="66" spans="1:30" x14ac:dyDescent="0.25">
      <c r="A66" s="14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13"/>
    </row>
    <row r="67" spans="1:30" ht="15" customHeight="1" x14ac:dyDescent="0.25">
      <c r="A67" s="14"/>
      <c r="B67" s="2"/>
      <c r="C67" s="157" t="s">
        <v>26</v>
      </c>
      <c r="D67" s="158"/>
      <c r="E67" s="158"/>
      <c r="F67" s="158"/>
      <c r="G67" s="158"/>
      <c r="H67" s="158"/>
      <c r="I67" s="158"/>
      <c r="J67" s="159"/>
      <c r="K67" s="157" t="s">
        <v>5</v>
      </c>
      <c r="L67" s="158"/>
      <c r="M67" s="158"/>
      <c r="N67" s="158"/>
      <c r="O67" s="158"/>
      <c r="P67" s="158"/>
      <c r="Q67" s="158"/>
      <c r="R67" s="159"/>
      <c r="S67" s="157" t="s">
        <v>3</v>
      </c>
      <c r="T67" s="158"/>
      <c r="U67" s="158"/>
      <c r="V67" s="158"/>
      <c r="W67" s="158"/>
      <c r="X67" s="158"/>
      <c r="Y67" s="158"/>
      <c r="Z67" s="160"/>
      <c r="AA67" s="2"/>
      <c r="AB67" s="2"/>
      <c r="AC67" s="2"/>
      <c r="AD67" s="13"/>
    </row>
    <row r="68" spans="1:30" ht="15.75" thickBot="1" x14ac:dyDescent="0.3">
      <c r="A68" s="14"/>
      <c r="B68" s="2"/>
      <c r="C68" s="23" t="s">
        <v>14</v>
      </c>
      <c r="D68" s="24" t="s">
        <v>22</v>
      </c>
      <c r="E68" s="24" t="s">
        <v>15</v>
      </c>
      <c r="F68" s="24" t="s">
        <v>23</v>
      </c>
      <c r="G68" s="24" t="s">
        <v>16</v>
      </c>
      <c r="H68" s="24" t="s">
        <v>24</v>
      </c>
      <c r="I68" s="24" t="s">
        <v>17</v>
      </c>
      <c r="J68" s="25" t="s">
        <v>25</v>
      </c>
      <c r="K68" s="23" t="s">
        <v>14</v>
      </c>
      <c r="L68" s="24" t="s">
        <v>22</v>
      </c>
      <c r="M68" s="24" t="s">
        <v>15</v>
      </c>
      <c r="N68" s="24" t="s">
        <v>23</v>
      </c>
      <c r="O68" s="24" t="s">
        <v>16</v>
      </c>
      <c r="P68" s="24" t="s">
        <v>24</v>
      </c>
      <c r="Q68" s="24" t="s">
        <v>17</v>
      </c>
      <c r="R68" s="25" t="s">
        <v>25</v>
      </c>
      <c r="S68" s="23" t="s">
        <v>14</v>
      </c>
      <c r="T68" s="24" t="s">
        <v>22</v>
      </c>
      <c r="U68" s="24" t="s">
        <v>15</v>
      </c>
      <c r="V68" s="24" t="s">
        <v>23</v>
      </c>
      <c r="W68" s="24" t="s">
        <v>16</v>
      </c>
      <c r="X68" s="24" t="s">
        <v>24</v>
      </c>
      <c r="Y68" s="24" t="s">
        <v>17</v>
      </c>
      <c r="Z68" s="38" t="s">
        <v>25</v>
      </c>
      <c r="AA68" s="2"/>
      <c r="AB68" s="9" t="s">
        <v>75</v>
      </c>
      <c r="AC68" s="9" t="s">
        <v>39</v>
      </c>
      <c r="AD68" s="112" t="s">
        <v>76</v>
      </c>
    </row>
    <row r="69" spans="1:30" ht="15.75" thickTop="1" x14ac:dyDescent="0.25">
      <c r="A69" s="161" t="s">
        <v>43</v>
      </c>
      <c r="B69" s="22" t="s">
        <v>14</v>
      </c>
      <c r="C69" s="26">
        <v>5584844.0889245821</v>
      </c>
      <c r="D69" s="27">
        <v>0</v>
      </c>
      <c r="E69" s="27">
        <v>0</v>
      </c>
      <c r="F69" s="27">
        <v>0</v>
      </c>
      <c r="G69" s="28">
        <v>0</v>
      </c>
      <c r="H69" s="28">
        <v>0</v>
      </c>
      <c r="I69" s="28">
        <v>0</v>
      </c>
      <c r="J69" s="29">
        <v>0</v>
      </c>
      <c r="K69" s="26">
        <v>5879782.3399786036</v>
      </c>
      <c r="L69" s="27">
        <v>0</v>
      </c>
      <c r="M69" s="27">
        <v>0</v>
      </c>
      <c r="N69" s="27">
        <v>0</v>
      </c>
      <c r="O69" s="28">
        <v>0</v>
      </c>
      <c r="P69" s="28">
        <v>0</v>
      </c>
      <c r="Q69" s="28">
        <v>0</v>
      </c>
      <c r="R69" s="29">
        <v>0</v>
      </c>
      <c r="S69" s="26">
        <v>1237858.2135347312</v>
      </c>
      <c r="T69" s="27">
        <v>0</v>
      </c>
      <c r="U69" s="27">
        <v>0</v>
      </c>
      <c r="V69" s="27">
        <v>0</v>
      </c>
      <c r="W69" s="28">
        <v>0</v>
      </c>
      <c r="X69" s="28">
        <v>0</v>
      </c>
      <c r="Y69" s="28">
        <v>0</v>
      </c>
      <c r="Z69" s="39">
        <v>0</v>
      </c>
      <c r="AA69" s="2"/>
      <c r="AB69" s="48">
        <f>SUM(C69:Z69)</f>
        <v>12702484.642437916</v>
      </c>
      <c r="AC69" s="48">
        <f t="shared" ref="AC69:AC77" si="12">AC7</f>
        <v>12702484.642440055</v>
      </c>
      <c r="AD69" s="52">
        <f>AC69-AB69</f>
        <v>2.1383166313171387E-6</v>
      </c>
    </row>
    <row r="70" spans="1:30" x14ac:dyDescent="0.25">
      <c r="A70" s="161"/>
      <c r="B70" s="22" t="s">
        <v>18</v>
      </c>
      <c r="C70" s="26">
        <v>0</v>
      </c>
      <c r="D70" s="27">
        <v>0</v>
      </c>
      <c r="E70" s="27">
        <v>0</v>
      </c>
      <c r="F70" s="27">
        <v>270973.342088643</v>
      </c>
      <c r="G70" s="30">
        <v>0</v>
      </c>
      <c r="H70" s="30">
        <v>108526.52585366604</v>
      </c>
      <c r="I70" s="30">
        <v>0</v>
      </c>
      <c r="J70" s="29">
        <v>186214.82233499232</v>
      </c>
      <c r="K70" s="26">
        <v>0</v>
      </c>
      <c r="L70" s="27">
        <v>0</v>
      </c>
      <c r="M70" s="27">
        <v>0</v>
      </c>
      <c r="N70" s="27">
        <v>83536.707667560157</v>
      </c>
      <c r="O70" s="30">
        <v>0</v>
      </c>
      <c r="P70" s="30">
        <v>22779.513544793717</v>
      </c>
      <c r="Q70" s="30">
        <v>0</v>
      </c>
      <c r="R70" s="29">
        <v>27787.036969477944</v>
      </c>
      <c r="S70" s="26">
        <v>0</v>
      </c>
      <c r="T70" s="27">
        <v>0</v>
      </c>
      <c r="U70" s="27">
        <v>0</v>
      </c>
      <c r="V70" s="27">
        <v>51226.026619601747</v>
      </c>
      <c r="W70" s="27">
        <v>0</v>
      </c>
      <c r="X70" s="27">
        <v>21777.965494765023</v>
      </c>
      <c r="Y70" s="27">
        <v>0</v>
      </c>
      <c r="Z70" s="39">
        <v>21854.061719662564</v>
      </c>
      <c r="AA70" s="2"/>
      <c r="AB70" s="48">
        <f t="shared" ref="AB70:AB77" si="13">SUM(C70:Z70)</f>
        <v>794676.0022931624</v>
      </c>
      <c r="AC70" s="48">
        <f t="shared" si="12"/>
        <v>794676.00229274551</v>
      </c>
      <c r="AD70" s="52">
        <f t="shared" ref="AD70:AD77" si="14">AC70-AB70</f>
        <v>-4.1688326746225357E-7</v>
      </c>
    </row>
    <row r="71" spans="1:30" x14ac:dyDescent="0.25">
      <c r="A71" s="161"/>
      <c r="B71" s="22" t="s">
        <v>15</v>
      </c>
      <c r="C71" s="26">
        <v>0</v>
      </c>
      <c r="D71" s="27">
        <v>0</v>
      </c>
      <c r="E71" s="27">
        <v>12167615.843779787</v>
      </c>
      <c r="F71" s="27">
        <v>0</v>
      </c>
      <c r="G71" s="35">
        <v>0</v>
      </c>
      <c r="H71" s="35">
        <v>0</v>
      </c>
      <c r="I71" s="35">
        <v>0</v>
      </c>
      <c r="J71" s="36">
        <v>0</v>
      </c>
      <c r="K71" s="26">
        <v>0</v>
      </c>
      <c r="L71" s="27">
        <v>0</v>
      </c>
      <c r="M71" s="27">
        <v>11061894.003681706</v>
      </c>
      <c r="N71" s="27">
        <v>0</v>
      </c>
      <c r="O71" s="35">
        <v>0</v>
      </c>
      <c r="P71" s="35">
        <v>0</v>
      </c>
      <c r="Q71" s="35">
        <v>0</v>
      </c>
      <c r="R71" s="36">
        <v>0</v>
      </c>
      <c r="S71" s="26">
        <v>0</v>
      </c>
      <c r="T71" s="27">
        <v>0</v>
      </c>
      <c r="U71" s="27">
        <v>3293044.0058889086</v>
      </c>
      <c r="V71" s="27">
        <v>0</v>
      </c>
      <c r="W71" s="35">
        <v>0</v>
      </c>
      <c r="X71" s="35">
        <v>0</v>
      </c>
      <c r="Y71" s="35">
        <v>0</v>
      </c>
      <c r="Z71" s="40">
        <v>0</v>
      </c>
      <c r="AA71" s="2"/>
      <c r="AB71" s="48">
        <f t="shared" si="13"/>
        <v>26522553.853350401</v>
      </c>
      <c r="AC71" s="48">
        <f t="shared" si="12"/>
        <v>26522553.85335451</v>
      </c>
      <c r="AD71" s="52">
        <f t="shared" si="14"/>
        <v>4.1089951992034912E-6</v>
      </c>
    </row>
    <row r="72" spans="1:30" x14ac:dyDescent="0.25">
      <c r="A72" s="161"/>
      <c r="B72" s="22" t="s">
        <v>19</v>
      </c>
      <c r="C72" s="26">
        <v>0</v>
      </c>
      <c r="D72" s="27">
        <v>245991.85360380355</v>
      </c>
      <c r="E72" s="27">
        <v>0</v>
      </c>
      <c r="F72" s="27">
        <v>0</v>
      </c>
      <c r="G72" s="27">
        <v>0</v>
      </c>
      <c r="H72" s="27">
        <v>248488.38487073657</v>
      </c>
      <c r="I72" s="27">
        <v>0</v>
      </c>
      <c r="J72" s="37">
        <v>337123.09080095129</v>
      </c>
      <c r="K72" s="26">
        <v>0</v>
      </c>
      <c r="L72" s="27">
        <v>79817.688049972203</v>
      </c>
      <c r="M72" s="27">
        <v>0</v>
      </c>
      <c r="N72" s="27">
        <v>0</v>
      </c>
      <c r="O72" s="27">
        <v>0</v>
      </c>
      <c r="P72" s="27">
        <v>61692.835982327757</v>
      </c>
      <c r="Q72" s="27">
        <v>0</v>
      </c>
      <c r="R72" s="37">
        <v>69886.410091992802</v>
      </c>
      <c r="S72" s="26">
        <v>0</v>
      </c>
      <c r="T72" s="27">
        <v>92525.42028056088</v>
      </c>
      <c r="U72" s="27">
        <v>0</v>
      </c>
      <c r="V72" s="27">
        <v>0</v>
      </c>
      <c r="W72" s="27">
        <v>0</v>
      </c>
      <c r="X72" s="27">
        <v>67484.221443617294</v>
      </c>
      <c r="Y72" s="27">
        <v>0</v>
      </c>
      <c r="Z72" s="39">
        <v>95101.150899812783</v>
      </c>
      <c r="AA72" s="2"/>
      <c r="AB72" s="48">
        <f t="shared" si="13"/>
        <v>1298111.0560237751</v>
      </c>
      <c r="AC72" s="48">
        <f t="shared" si="12"/>
        <v>1298111.0560256355</v>
      </c>
      <c r="AD72" s="52">
        <f t="shared" si="14"/>
        <v>1.8603168427944183E-6</v>
      </c>
    </row>
    <row r="73" spans="1:30" x14ac:dyDescent="0.25">
      <c r="A73" s="161"/>
      <c r="B73" s="78" t="s">
        <v>16</v>
      </c>
      <c r="C73" s="26">
        <v>0</v>
      </c>
      <c r="D73" s="27">
        <v>0</v>
      </c>
      <c r="E73" s="27">
        <v>0</v>
      </c>
      <c r="F73" s="27">
        <v>0</v>
      </c>
      <c r="G73" s="27">
        <v>3618926.8692062739</v>
      </c>
      <c r="H73" s="27">
        <v>0</v>
      </c>
      <c r="I73" s="27">
        <v>0</v>
      </c>
      <c r="J73" s="37">
        <v>0</v>
      </c>
      <c r="K73" s="26">
        <v>0</v>
      </c>
      <c r="L73" s="27">
        <v>0</v>
      </c>
      <c r="M73" s="27">
        <v>0</v>
      </c>
      <c r="N73" s="27">
        <v>0</v>
      </c>
      <c r="O73" s="27">
        <v>2638530.9183662664</v>
      </c>
      <c r="P73" s="27">
        <v>0</v>
      </c>
      <c r="Q73" s="27">
        <v>0</v>
      </c>
      <c r="R73" s="37">
        <v>0</v>
      </c>
      <c r="S73" s="26">
        <v>0</v>
      </c>
      <c r="T73" s="27">
        <v>0</v>
      </c>
      <c r="U73" s="27">
        <v>0</v>
      </c>
      <c r="V73" s="27">
        <v>0</v>
      </c>
      <c r="W73" s="27">
        <v>995441.49881882081</v>
      </c>
      <c r="X73" s="27">
        <v>0</v>
      </c>
      <c r="Y73" s="27">
        <v>0</v>
      </c>
      <c r="Z73" s="39">
        <v>0</v>
      </c>
      <c r="AA73" s="2"/>
      <c r="AB73" s="48">
        <f t="shared" si="13"/>
        <v>7252899.2863913607</v>
      </c>
      <c r="AC73" s="48">
        <f t="shared" si="12"/>
        <v>7252899.2863925016</v>
      </c>
      <c r="AD73" s="52">
        <f t="shared" si="14"/>
        <v>1.1408701539039612E-6</v>
      </c>
    </row>
    <row r="74" spans="1:30" x14ac:dyDescent="0.25">
      <c r="A74" s="161"/>
      <c r="B74" s="78" t="s">
        <v>20</v>
      </c>
      <c r="C74" s="26">
        <v>0</v>
      </c>
      <c r="D74" s="27">
        <v>92910.042563949042</v>
      </c>
      <c r="E74" s="27">
        <v>0</v>
      </c>
      <c r="F74" s="27">
        <v>259280.69986022977</v>
      </c>
      <c r="G74" s="27">
        <v>0</v>
      </c>
      <c r="H74" s="27">
        <v>0</v>
      </c>
      <c r="I74" s="27">
        <v>0</v>
      </c>
      <c r="J74" s="37">
        <v>94301.448778750433</v>
      </c>
      <c r="K74" s="26">
        <v>0</v>
      </c>
      <c r="L74" s="27">
        <v>59913.226899786539</v>
      </c>
      <c r="M74" s="27">
        <v>0</v>
      </c>
      <c r="N74" s="27">
        <v>114039.27127869983</v>
      </c>
      <c r="O74" s="27">
        <v>0</v>
      </c>
      <c r="P74" s="27">
        <v>0</v>
      </c>
      <c r="Q74" s="27">
        <v>0</v>
      </c>
      <c r="R74" s="37">
        <v>18068.448836645053</v>
      </c>
      <c r="S74" s="26">
        <v>0</v>
      </c>
      <c r="T74" s="27">
        <v>26788.882336784358</v>
      </c>
      <c r="U74" s="27">
        <v>0</v>
      </c>
      <c r="V74" s="27">
        <v>26770.203429160807</v>
      </c>
      <c r="W74" s="27">
        <v>0</v>
      </c>
      <c r="X74" s="27">
        <v>0</v>
      </c>
      <c r="Y74" s="27">
        <v>0</v>
      </c>
      <c r="Z74" s="39">
        <v>19889.643891496555</v>
      </c>
      <c r="AA74" s="2"/>
      <c r="AB74" s="48">
        <f t="shared" si="13"/>
        <v>711961.86787550233</v>
      </c>
      <c r="AC74" s="48">
        <f t="shared" si="12"/>
        <v>711961.86787489709</v>
      </c>
      <c r="AD74" s="52">
        <f t="shared" si="14"/>
        <v>-6.052432581782341E-7</v>
      </c>
    </row>
    <row r="75" spans="1:30" x14ac:dyDescent="0.25">
      <c r="A75" s="161"/>
      <c r="B75" s="78" t="s">
        <v>17</v>
      </c>
      <c r="C75" s="26">
        <v>0</v>
      </c>
      <c r="D75" s="27">
        <v>0</v>
      </c>
      <c r="E75" s="27">
        <v>0</v>
      </c>
      <c r="F75" s="27">
        <v>0</v>
      </c>
      <c r="G75" s="27">
        <v>0</v>
      </c>
      <c r="H75" s="27">
        <v>0</v>
      </c>
      <c r="I75" s="27">
        <v>2305743.307413802</v>
      </c>
      <c r="J75" s="37">
        <v>0</v>
      </c>
      <c r="K75" s="26">
        <v>0</v>
      </c>
      <c r="L75" s="27">
        <v>0</v>
      </c>
      <c r="M75" s="27">
        <v>0</v>
      </c>
      <c r="N75" s="27">
        <v>0</v>
      </c>
      <c r="O75" s="27">
        <v>0</v>
      </c>
      <c r="P75" s="27">
        <v>0</v>
      </c>
      <c r="Q75" s="27">
        <v>2162335.4775661454</v>
      </c>
      <c r="R75" s="37">
        <v>0</v>
      </c>
      <c r="S75" s="26">
        <v>0</v>
      </c>
      <c r="T75" s="27">
        <v>0</v>
      </c>
      <c r="U75" s="27">
        <v>0</v>
      </c>
      <c r="V75" s="27">
        <v>0</v>
      </c>
      <c r="W75" s="27">
        <v>0</v>
      </c>
      <c r="X75" s="27">
        <v>0</v>
      </c>
      <c r="Y75" s="27">
        <v>685139.68086411187</v>
      </c>
      <c r="Z75" s="39">
        <v>0</v>
      </c>
      <c r="AA75" s="2"/>
      <c r="AB75" s="48">
        <f t="shared" si="13"/>
        <v>5153218.4658440584</v>
      </c>
      <c r="AC75" s="48">
        <f t="shared" si="12"/>
        <v>5153218.4658448696</v>
      </c>
      <c r="AD75" s="52">
        <f t="shared" si="14"/>
        <v>8.1118196249008179E-7</v>
      </c>
    </row>
    <row r="76" spans="1:30" x14ac:dyDescent="0.25">
      <c r="A76" s="161"/>
      <c r="B76" s="78" t="s">
        <v>21</v>
      </c>
      <c r="C76" s="26">
        <v>0</v>
      </c>
      <c r="D76" s="27">
        <v>123586.07048802552</v>
      </c>
      <c r="E76" s="27">
        <v>0</v>
      </c>
      <c r="F76" s="27">
        <v>359524.11608987674</v>
      </c>
      <c r="G76" s="30">
        <v>0</v>
      </c>
      <c r="H76" s="30">
        <v>143521.89859613753</v>
      </c>
      <c r="I76" s="30">
        <v>0</v>
      </c>
      <c r="J76" s="29">
        <v>0</v>
      </c>
      <c r="K76" s="26">
        <v>0</v>
      </c>
      <c r="L76" s="27">
        <v>49763.150570600817</v>
      </c>
      <c r="M76" s="27">
        <v>0</v>
      </c>
      <c r="N76" s="27">
        <v>103791.16896918064</v>
      </c>
      <c r="O76" s="27">
        <v>0</v>
      </c>
      <c r="P76" s="27">
        <v>28459.116119004786</v>
      </c>
      <c r="Q76" s="27">
        <v>0</v>
      </c>
      <c r="R76" s="37">
        <v>0</v>
      </c>
      <c r="S76" s="26">
        <v>0</v>
      </c>
      <c r="T76" s="27">
        <v>23379.667512302931</v>
      </c>
      <c r="U76" s="27">
        <v>0</v>
      </c>
      <c r="V76" s="27">
        <v>28969.520010849508</v>
      </c>
      <c r="W76" s="27">
        <v>0</v>
      </c>
      <c r="X76" s="27">
        <v>9231.4059689612513</v>
      </c>
      <c r="Y76" s="27">
        <v>0</v>
      </c>
      <c r="Z76" s="39">
        <v>0</v>
      </c>
      <c r="AA76" s="2"/>
      <c r="AB76" s="48">
        <f t="shared" si="13"/>
        <v>870226.1143249399</v>
      </c>
      <c r="AC76" s="48">
        <f t="shared" si="12"/>
        <v>870226.11432410218</v>
      </c>
      <c r="AD76" s="52">
        <f t="shared" si="14"/>
        <v>-8.3772465586662292E-7</v>
      </c>
    </row>
    <row r="77" spans="1:30" x14ac:dyDescent="0.25">
      <c r="A77" s="14"/>
      <c r="B77" s="7" t="s">
        <v>2</v>
      </c>
      <c r="C77" s="31">
        <v>7449828.5891524386</v>
      </c>
      <c r="D77" s="32">
        <v>0</v>
      </c>
      <c r="E77" s="32">
        <v>14763270.907561606</v>
      </c>
      <c r="F77" s="32">
        <v>0</v>
      </c>
      <c r="G77" s="33">
        <v>3845397.4757405836</v>
      </c>
      <c r="H77" s="33">
        <v>0</v>
      </c>
      <c r="I77" s="33">
        <v>3100061.9108404764</v>
      </c>
      <c r="J77" s="34">
        <v>0</v>
      </c>
      <c r="K77" s="31">
        <v>0</v>
      </c>
      <c r="L77" s="32">
        <v>0</v>
      </c>
      <c r="M77" s="32">
        <v>0</v>
      </c>
      <c r="N77" s="32">
        <v>0</v>
      </c>
      <c r="O77" s="33">
        <v>0</v>
      </c>
      <c r="P77" s="33">
        <v>0</v>
      </c>
      <c r="Q77" s="33">
        <v>0</v>
      </c>
      <c r="R77" s="34">
        <v>0</v>
      </c>
      <c r="S77" s="31">
        <v>0</v>
      </c>
      <c r="T77" s="32">
        <v>0</v>
      </c>
      <c r="U77" s="32">
        <v>0</v>
      </c>
      <c r="V77" s="32">
        <v>0</v>
      </c>
      <c r="W77" s="32">
        <v>0</v>
      </c>
      <c r="X77" s="32">
        <v>0</v>
      </c>
      <c r="Y77" s="32">
        <v>0</v>
      </c>
      <c r="Z77" s="41">
        <v>0</v>
      </c>
      <c r="AA77" s="2"/>
      <c r="AB77" s="48">
        <f t="shared" si="13"/>
        <v>29158558.883295108</v>
      </c>
      <c r="AC77" s="48">
        <f t="shared" si="12"/>
        <v>29158558.883299731</v>
      </c>
      <c r="AD77" s="52">
        <f t="shared" si="14"/>
        <v>4.6230852603912354E-6</v>
      </c>
    </row>
    <row r="78" spans="1:30" x14ac:dyDescent="0.25">
      <c r="A78" s="57"/>
      <c r="B78" s="79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79"/>
      <c r="Q78" s="79"/>
      <c r="R78" s="79"/>
      <c r="S78" s="79"/>
      <c r="T78" s="79"/>
      <c r="U78" s="79"/>
      <c r="V78" s="79"/>
      <c r="W78" s="79"/>
      <c r="X78" s="79"/>
      <c r="Y78" s="79"/>
      <c r="Z78" s="79"/>
      <c r="AA78" s="2"/>
      <c r="AB78" s="60">
        <f>SUM(AB69:AB77)</f>
        <v>84464690.171836227</v>
      </c>
      <c r="AC78" s="60">
        <f>SUM(AC69:AC77)</f>
        <v>84464690.171849042</v>
      </c>
      <c r="AD78" s="13"/>
    </row>
    <row r="79" spans="1:30" x14ac:dyDescent="0.25">
      <c r="A79" s="57"/>
      <c r="B79" s="80" t="s">
        <v>74</v>
      </c>
      <c r="C79" s="79">
        <f>SUM(C69:C77)</f>
        <v>13034672.67807702</v>
      </c>
      <c r="D79" s="79">
        <f t="shared" ref="D79:Z79" si="15">SUM(D69:D77)</f>
        <v>462487.96665577812</v>
      </c>
      <c r="E79" s="79">
        <f t="shared" si="15"/>
        <v>26930886.751341395</v>
      </c>
      <c r="F79" s="79">
        <f t="shared" si="15"/>
        <v>889778.15803874948</v>
      </c>
      <c r="G79" s="79">
        <f t="shared" si="15"/>
        <v>7464324.3449468575</v>
      </c>
      <c r="H79" s="79">
        <f t="shared" si="15"/>
        <v>500536.80932054017</v>
      </c>
      <c r="I79" s="79">
        <f t="shared" si="15"/>
        <v>5405805.2182542784</v>
      </c>
      <c r="J79" s="79">
        <f t="shared" si="15"/>
        <v>617639.36191469408</v>
      </c>
      <c r="K79" s="79">
        <f t="shared" si="15"/>
        <v>5879782.3399786036</v>
      </c>
      <c r="L79" s="79">
        <f t="shared" si="15"/>
        <v>189494.06552035955</v>
      </c>
      <c r="M79" s="79">
        <f t="shared" si="15"/>
        <v>11061894.003681706</v>
      </c>
      <c r="N79" s="79">
        <f t="shared" si="15"/>
        <v>301367.14791544061</v>
      </c>
      <c r="O79" s="79">
        <f t="shared" si="15"/>
        <v>2638530.9183662664</v>
      </c>
      <c r="P79" s="79">
        <f t="shared" si="15"/>
        <v>112931.46564612626</v>
      </c>
      <c r="Q79" s="79">
        <f t="shared" si="15"/>
        <v>2162335.4775661454</v>
      </c>
      <c r="R79" s="79">
        <f t="shared" si="15"/>
        <v>115741.89589811579</v>
      </c>
      <c r="S79" s="79">
        <f t="shared" si="15"/>
        <v>1237858.2135347312</v>
      </c>
      <c r="T79" s="79">
        <f t="shared" si="15"/>
        <v>142693.97012964817</v>
      </c>
      <c r="U79" s="79">
        <f t="shared" si="15"/>
        <v>3293044.0058889086</v>
      </c>
      <c r="V79" s="79">
        <f t="shared" si="15"/>
        <v>106965.75005961205</v>
      </c>
      <c r="W79" s="79">
        <f t="shared" si="15"/>
        <v>995441.49881882081</v>
      </c>
      <c r="X79" s="79">
        <f t="shared" si="15"/>
        <v>98493.592907343569</v>
      </c>
      <c r="Y79" s="79">
        <f t="shared" si="15"/>
        <v>685139.68086411187</v>
      </c>
      <c r="Z79" s="79">
        <f t="shared" si="15"/>
        <v>136844.85651097191</v>
      </c>
      <c r="AA79" s="80">
        <f>SUM(C79:Z79)</f>
        <v>84464690.171836227</v>
      </c>
      <c r="AB79" s="2"/>
      <c r="AC79" s="2"/>
      <c r="AD79" s="13"/>
    </row>
    <row r="80" spans="1:30" x14ac:dyDescent="0.25">
      <c r="A80" s="57"/>
      <c r="B80" s="80" t="s">
        <v>40</v>
      </c>
      <c r="C80" s="79">
        <f t="shared" ref="C80:Z80" si="16">C18</f>
        <v>13034672.678077022</v>
      </c>
      <c r="D80" s="79">
        <f t="shared" si="16"/>
        <v>462487.96665577812</v>
      </c>
      <c r="E80" s="79">
        <f t="shared" si="16"/>
        <v>26930886.751341395</v>
      </c>
      <c r="F80" s="79">
        <f t="shared" si="16"/>
        <v>889778.15803874948</v>
      </c>
      <c r="G80" s="79">
        <f t="shared" si="16"/>
        <v>7464324.3449468585</v>
      </c>
      <c r="H80" s="79">
        <f t="shared" si="16"/>
        <v>500536.80932054017</v>
      </c>
      <c r="I80" s="79">
        <f t="shared" si="16"/>
        <v>5405805.2182542775</v>
      </c>
      <c r="J80" s="79">
        <f t="shared" si="16"/>
        <v>617639.36191469408</v>
      </c>
      <c r="K80" s="79">
        <f t="shared" si="16"/>
        <v>5879782.3399786036</v>
      </c>
      <c r="L80" s="79">
        <f t="shared" si="16"/>
        <v>189494.06552035955</v>
      </c>
      <c r="M80" s="79">
        <f t="shared" si="16"/>
        <v>11061894.003681706</v>
      </c>
      <c r="N80" s="79">
        <f t="shared" si="16"/>
        <v>301367.14791544067</v>
      </c>
      <c r="O80" s="79">
        <f t="shared" si="16"/>
        <v>2638530.9183662664</v>
      </c>
      <c r="P80" s="79">
        <f t="shared" si="16"/>
        <v>112931.46564612626</v>
      </c>
      <c r="Q80" s="79">
        <f t="shared" si="16"/>
        <v>2162335.4775661454</v>
      </c>
      <c r="R80" s="79">
        <f t="shared" si="16"/>
        <v>115741.89589811581</v>
      </c>
      <c r="S80" s="79">
        <f t="shared" si="16"/>
        <v>1237858.2135347312</v>
      </c>
      <c r="T80" s="79">
        <f t="shared" si="16"/>
        <v>142693.97012964817</v>
      </c>
      <c r="U80" s="79">
        <f t="shared" si="16"/>
        <v>3293044.0058889086</v>
      </c>
      <c r="V80" s="79">
        <f t="shared" si="16"/>
        <v>106965.75005961205</v>
      </c>
      <c r="W80" s="79">
        <f t="shared" si="16"/>
        <v>995441.49881882081</v>
      </c>
      <c r="X80" s="79">
        <f t="shared" si="16"/>
        <v>98493.592907343569</v>
      </c>
      <c r="Y80" s="79">
        <f t="shared" si="16"/>
        <v>685139.68086411187</v>
      </c>
      <c r="Z80" s="79">
        <f t="shared" si="16"/>
        <v>136844.85651097191</v>
      </c>
      <c r="AA80" s="80">
        <f>SUM(C80:Z80)</f>
        <v>84464690.171836227</v>
      </c>
      <c r="AB80" s="2"/>
      <c r="AC80" s="2"/>
      <c r="AD80" s="13"/>
    </row>
    <row r="81" spans="1:30" x14ac:dyDescent="0.25">
      <c r="A81" s="14"/>
      <c r="B81" s="7" t="s">
        <v>76</v>
      </c>
      <c r="C81" s="79">
        <f>C80-C80</f>
        <v>0</v>
      </c>
      <c r="D81" s="79">
        <f t="shared" ref="D81:Z81" si="17">D80-D80</f>
        <v>0</v>
      </c>
      <c r="E81" s="79">
        <f t="shared" si="17"/>
        <v>0</v>
      </c>
      <c r="F81" s="79">
        <f t="shared" si="17"/>
        <v>0</v>
      </c>
      <c r="G81" s="79">
        <f t="shared" si="17"/>
        <v>0</v>
      </c>
      <c r="H81" s="79">
        <f t="shared" si="17"/>
        <v>0</v>
      </c>
      <c r="I81" s="79">
        <f t="shared" si="17"/>
        <v>0</v>
      </c>
      <c r="J81" s="79">
        <f t="shared" si="17"/>
        <v>0</v>
      </c>
      <c r="K81" s="79">
        <f t="shared" si="17"/>
        <v>0</v>
      </c>
      <c r="L81" s="79">
        <f t="shared" si="17"/>
        <v>0</v>
      </c>
      <c r="M81" s="79">
        <f t="shared" si="17"/>
        <v>0</v>
      </c>
      <c r="N81" s="79">
        <f t="shared" si="17"/>
        <v>0</v>
      </c>
      <c r="O81" s="79">
        <f t="shared" si="17"/>
        <v>0</v>
      </c>
      <c r="P81" s="79">
        <f t="shared" si="17"/>
        <v>0</v>
      </c>
      <c r="Q81" s="79">
        <f t="shared" si="17"/>
        <v>0</v>
      </c>
      <c r="R81" s="79">
        <f t="shared" si="17"/>
        <v>0</v>
      </c>
      <c r="S81" s="79">
        <f t="shared" si="17"/>
        <v>0</v>
      </c>
      <c r="T81" s="79">
        <f t="shared" si="17"/>
        <v>0</v>
      </c>
      <c r="U81" s="79">
        <f t="shared" si="17"/>
        <v>0</v>
      </c>
      <c r="V81" s="79">
        <f t="shared" si="17"/>
        <v>0</v>
      </c>
      <c r="W81" s="79">
        <f t="shared" si="17"/>
        <v>0</v>
      </c>
      <c r="X81" s="79">
        <f t="shared" si="17"/>
        <v>0</v>
      </c>
      <c r="Y81" s="79">
        <f t="shared" si="17"/>
        <v>0</v>
      </c>
      <c r="Z81" s="79">
        <f t="shared" si="17"/>
        <v>0</v>
      </c>
      <c r="AA81" s="2"/>
      <c r="AB81" s="2"/>
      <c r="AC81" s="2"/>
      <c r="AD81" s="13"/>
    </row>
    <row r="82" spans="1:30" x14ac:dyDescent="0.25">
      <c r="A82" s="19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1"/>
    </row>
    <row r="84" spans="1:30" x14ac:dyDescent="0.25">
      <c r="A84" s="59" t="s">
        <v>85</v>
      </c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5"/>
    </row>
    <row r="85" spans="1:30" x14ac:dyDescent="0.25">
      <c r="A85" s="14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13"/>
    </row>
    <row r="86" spans="1:30" x14ac:dyDescent="0.25">
      <c r="A86" s="14"/>
      <c r="B86" s="2"/>
      <c r="C86" s="152" t="s">
        <v>11</v>
      </c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2"/>
      <c r="P86" s="7" t="s">
        <v>13</v>
      </c>
      <c r="Q86" s="2"/>
      <c r="R86" s="13"/>
    </row>
    <row r="87" spans="1:30" x14ac:dyDescent="0.25">
      <c r="A87" s="14"/>
      <c r="B87" s="2"/>
      <c r="C87" s="151" t="s">
        <v>1</v>
      </c>
      <c r="D87" s="152"/>
      <c r="E87" s="152"/>
      <c r="F87" s="153"/>
      <c r="G87" s="152" t="s">
        <v>5</v>
      </c>
      <c r="H87" s="152"/>
      <c r="I87" s="152"/>
      <c r="J87" s="153"/>
      <c r="K87" s="154" t="s">
        <v>3</v>
      </c>
      <c r="L87" s="152"/>
      <c r="M87" s="152"/>
      <c r="N87" s="155"/>
      <c r="O87" s="2"/>
      <c r="P87" s="2"/>
      <c r="Q87" s="2"/>
      <c r="R87" s="13"/>
    </row>
    <row r="88" spans="1:30" ht="15.75" thickBot="1" x14ac:dyDescent="0.3">
      <c r="A88" s="14"/>
      <c r="B88" s="2"/>
      <c r="C88" s="15" t="s">
        <v>7</v>
      </c>
      <c r="D88" s="16" t="s">
        <v>8</v>
      </c>
      <c r="E88" s="16" t="s">
        <v>9</v>
      </c>
      <c r="F88" s="17" t="s">
        <v>0</v>
      </c>
      <c r="G88" s="16" t="s">
        <v>7</v>
      </c>
      <c r="H88" s="16" t="s">
        <v>8</v>
      </c>
      <c r="I88" s="16" t="s">
        <v>9</v>
      </c>
      <c r="J88" s="17" t="s">
        <v>0</v>
      </c>
      <c r="K88" s="16" t="s">
        <v>7</v>
      </c>
      <c r="L88" s="16" t="s">
        <v>8</v>
      </c>
      <c r="M88" s="16" t="s">
        <v>9</v>
      </c>
      <c r="N88" s="18" t="s">
        <v>0</v>
      </c>
      <c r="O88" s="2"/>
      <c r="P88" s="2"/>
      <c r="Q88" s="2"/>
      <c r="R88" s="13"/>
    </row>
    <row r="89" spans="1:30" ht="15.75" thickTop="1" x14ac:dyDescent="0.25">
      <c r="A89" s="150" t="s">
        <v>10</v>
      </c>
      <c r="B89" s="7" t="s">
        <v>7</v>
      </c>
      <c r="C89" s="46">
        <f>SUM(C69:D70)</f>
        <v>5584844.0889245821</v>
      </c>
      <c r="D89" s="48">
        <f>SUM(E69:F70)</f>
        <v>270973.342088643</v>
      </c>
      <c r="E89" s="48">
        <f>SUM(G69:H70)</f>
        <v>108526.52585366604</v>
      </c>
      <c r="F89" s="50">
        <f>SUM(I69:J70)</f>
        <v>186214.82233499232</v>
      </c>
      <c r="G89" s="48">
        <f>SUM(K69:L70)</f>
        <v>5879782.3399786036</v>
      </c>
      <c r="H89" s="48">
        <f>SUM(M69:N70)</f>
        <v>83536.707667560157</v>
      </c>
      <c r="I89" s="48">
        <f>SUM(O69:P70)</f>
        <v>22779.513544793717</v>
      </c>
      <c r="J89" s="50">
        <f>SUM(Q69:R70)</f>
        <v>27787.036969477944</v>
      </c>
      <c r="K89" s="48">
        <f>SUM(S69:T70)</f>
        <v>1237858.2135347312</v>
      </c>
      <c r="L89" s="48">
        <f>SUM(U69:V70)</f>
        <v>51226.026619601747</v>
      </c>
      <c r="M89" s="48">
        <f>SUM(W69:X70)</f>
        <v>21777.965494765023</v>
      </c>
      <c r="N89" s="52">
        <f>SUM(Y69:Z70)</f>
        <v>21854.061719662564</v>
      </c>
      <c r="O89" s="2"/>
      <c r="P89" s="2">
        <f>SUM(C89:N89)</f>
        <v>13497160.64473108</v>
      </c>
      <c r="Q89" s="2"/>
      <c r="R89" s="13"/>
    </row>
    <row r="90" spans="1:30" x14ac:dyDescent="0.25">
      <c r="A90" s="150"/>
      <c r="B90" s="7" t="s">
        <v>8</v>
      </c>
      <c r="C90" s="46">
        <f>SUM(C71:D72)</f>
        <v>245991.85360380355</v>
      </c>
      <c r="D90" s="48">
        <f>SUM(E71:F72)</f>
        <v>12167615.843779787</v>
      </c>
      <c r="E90" s="48">
        <f>SUM(G71:H72)</f>
        <v>248488.38487073657</v>
      </c>
      <c r="F90" s="50">
        <f>SUM(I71:J72)</f>
        <v>337123.09080095129</v>
      </c>
      <c r="G90" s="48">
        <f>SUM(K71:L72)</f>
        <v>79817.688049972203</v>
      </c>
      <c r="H90" s="48">
        <f>SUM(M71:N72)</f>
        <v>11061894.003681706</v>
      </c>
      <c r="I90" s="48">
        <f>SUM(O71:P72)</f>
        <v>61692.835982327757</v>
      </c>
      <c r="J90" s="50">
        <f>SUM(Q71:R72)</f>
        <v>69886.410091992802</v>
      </c>
      <c r="K90" s="48">
        <f>SUM(S71:T72)</f>
        <v>92525.42028056088</v>
      </c>
      <c r="L90" s="48">
        <f>SUM(U71:V72)</f>
        <v>3293044.0058889086</v>
      </c>
      <c r="M90" s="48">
        <f>SUM(W71:X72)</f>
        <v>67484.221443617294</v>
      </c>
      <c r="N90" s="52">
        <f>SUM(Y71:Z72)</f>
        <v>95101.150899812783</v>
      </c>
      <c r="O90" s="2"/>
      <c r="P90" s="2">
        <f t="shared" ref="P90:P93" si="18">SUM(C90:N90)</f>
        <v>27820664.909374174</v>
      </c>
      <c r="Q90" s="2"/>
      <c r="R90" s="13"/>
    </row>
    <row r="91" spans="1:30" x14ac:dyDescent="0.25">
      <c r="A91" s="150"/>
      <c r="B91" s="7" t="s">
        <v>9</v>
      </c>
      <c r="C91" s="46">
        <f>SUM(C73:D74)</f>
        <v>92910.042563949042</v>
      </c>
      <c r="D91" s="48">
        <f>SUM(E73:F74)</f>
        <v>259280.69986022977</v>
      </c>
      <c r="E91" s="48">
        <f>SUM(G73:H74)</f>
        <v>3618926.8692062739</v>
      </c>
      <c r="F91" s="50">
        <f>SUM(I73:J74)</f>
        <v>94301.448778750433</v>
      </c>
      <c r="G91" s="48">
        <f>SUM(K73:L74)</f>
        <v>59913.226899786539</v>
      </c>
      <c r="H91" s="48">
        <f>SUM(M74:N75)</f>
        <v>114039.27127869983</v>
      </c>
      <c r="I91" s="48">
        <f>SUM(O73:P74)</f>
        <v>2638530.9183662664</v>
      </c>
      <c r="J91" s="50">
        <f>SUM(Q73:R74)</f>
        <v>18068.448836645053</v>
      </c>
      <c r="K91" s="48">
        <f>SUM(S73:T74)</f>
        <v>26788.882336784358</v>
      </c>
      <c r="L91" s="48">
        <f>SUM(U73:V74)</f>
        <v>26770.203429160807</v>
      </c>
      <c r="M91" s="48">
        <f>SUM(W73:X74)</f>
        <v>995441.49881882081</v>
      </c>
      <c r="N91" s="52">
        <f>SUM(Y73:Z74)</f>
        <v>19889.643891496555</v>
      </c>
      <c r="O91" s="2"/>
      <c r="P91" s="2">
        <f t="shared" si="18"/>
        <v>7964861.1542668622</v>
      </c>
      <c r="Q91" s="2"/>
      <c r="R91" s="13"/>
    </row>
    <row r="92" spans="1:30" x14ac:dyDescent="0.25">
      <c r="A92" s="150"/>
      <c r="B92" s="7" t="s">
        <v>0</v>
      </c>
      <c r="C92" s="46">
        <f>SUM(C75:D76)</f>
        <v>123586.07048802552</v>
      </c>
      <c r="D92" s="48">
        <f>SUM(E75:F76)</f>
        <v>359524.11608987674</v>
      </c>
      <c r="E92" s="48">
        <f>SUM(G75:H76)</f>
        <v>143521.89859613753</v>
      </c>
      <c r="F92" s="50">
        <f>SUM(I75:J76)</f>
        <v>2305743.307413802</v>
      </c>
      <c r="G92" s="48">
        <f>SUM(K75:L76)</f>
        <v>49763.150570600817</v>
      </c>
      <c r="H92" s="48">
        <f>SUM(M75:N76)</f>
        <v>103791.16896918064</v>
      </c>
      <c r="I92" s="48">
        <f>SUM(O75:P76)</f>
        <v>28459.116119004786</v>
      </c>
      <c r="J92" s="50">
        <f>SUM(Q75:R76)</f>
        <v>2162335.4775661454</v>
      </c>
      <c r="K92" s="48">
        <f>SUM(S75:T76)</f>
        <v>23379.667512302931</v>
      </c>
      <c r="L92" s="48">
        <f>SUM(U75:V76)</f>
        <v>28969.520010849508</v>
      </c>
      <c r="M92" s="48">
        <f>SUM(W75:X76)</f>
        <v>9231.4059689612513</v>
      </c>
      <c r="N92" s="52">
        <f>SUM(Y75:Z76)</f>
        <v>685139.68086411187</v>
      </c>
      <c r="O92" s="2"/>
      <c r="P92" s="2">
        <f t="shared" si="18"/>
        <v>6023444.5801689988</v>
      </c>
      <c r="Q92" s="2"/>
      <c r="R92" s="13"/>
    </row>
    <row r="93" spans="1:30" x14ac:dyDescent="0.25">
      <c r="A93" s="57"/>
      <c r="B93" s="7" t="s">
        <v>2</v>
      </c>
      <c r="C93" s="47">
        <f>SUM(C77:D77)</f>
        <v>7449828.5891524386</v>
      </c>
      <c r="D93" s="49">
        <f>SUM(E77:F77)</f>
        <v>14763270.907561606</v>
      </c>
      <c r="E93" s="49">
        <f>SUM(G77:H77)</f>
        <v>3845397.4757405836</v>
      </c>
      <c r="F93" s="51">
        <f>SUM(I77:J77)</f>
        <v>3100061.9108404764</v>
      </c>
      <c r="G93" s="49">
        <f>SUM(K77:L77)</f>
        <v>0</v>
      </c>
      <c r="H93" s="49">
        <f>SUM(M77:N77)</f>
        <v>0</v>
      </c>
      <c r="I93" s="49">
        <f>SUM(O77:P77)</f>
        <v>0</v>
      </c>
      <c r="J93" s="51">
        <f>SUM(Q77:R77)</f>
        <v>0</v>
      </c>
      <c r="K93" s="49">
        <f>SUM(S77:T77)</f>
        <v>0</v>
      </c>
      <c r="L93" s="49">
        <f>SUM(U77:V77)</f>
        <v>0</v>
      </c>
      <c r="M93" s="49">
        <f>SUM(W77:X77)</f>
        <v>0</v>
      </c>
      <c r="N93" s="53">
        <f>SUM(Y77:Z77)</f>
        <v>0</v>
      </c>
      <c r="O93" s="2"/>
      <c r="P93" s="2">
        <f t="shared" si="18"/>
        <v>29158558.883295108</v>
      </c>
      <c r="Q93" s="2"/>
      <c r="R93" s="13"/>
    </row>
    <row r="94" spans="1:30" x14ac:dyDescent="0.25">
      <c r="A94" s="14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7">
        <f>SUM(P89:P93)</f>
        <v>84464690.171836227</v>
      </c>
      <c r="Q94" s="2"/>
      <c r="R94" s="13"/>
    </row>
    <row r="95" spans="1:30" x14ac:dyDescent="0.25">
      <c r="A95" s="14"/>
      <c r="B95" s="9" t="s">
        <v>12</v>
      </c>
      <c r="C95" s="2">
        <f>SUM(C89:C93)</f>
        <v>13497160.644732799</v>
      </c>
      <c r="D95" s="2">
        <f t="shared" ref="D95:N95" si="19">SUM(D89:D93)</f>
        <v>27820664.909380145</v>
      </c>
      <c r="E95" s="2">
        <f t="shared" si="19"/>
        <v>7964861.1542673977</v>
      </c>
      <c r="F95" s="2">
        <f t="shared" si="19"/>
        <v>6023444.5801689718</v>
      </c>
      <c r="G95" s="2">
        <f t="shared" si="19"/>
        <v>6069276.4054989638</v>
      </c>
      <c r="H95" s="2">
        <f t="shared" si="19"/>
        <v>11363261.151597146</v>
      </c>
      <c r="I95" s="2">
        <f t="shared" si="19"/>
        <v>2751462.3840123927</v>
      </c>
      <c r="J95" s="2">
        <f t="shared" si="19"/>
        <v>2278077.3734642612</v>
      </c>
      <c r="K95" s="2">
        <f t="shared" si="19"/>
        <v>1380552.1836643794</v>
      </c>
      <c r="L95" s="2">
        <f t="shared" si="19"/>
        <v>3400009.7559485203</v>
      </c>
      <c r="M95" s="2">
        <f t="shared" si="19"/>
        <v>1093935.0917261643</v>
      </c>
      <c r="N95" s="2">
        <f t="shared" si="19"/>
        <v>821984.53737508378</v>
      </c>
      <c r="O95" s="7">
        <f>SUM(C95:N95)</f>
        <v>84464690.171836212</v>
      </c>
      <c r="P95" s="2"/>
      <c r="Q95" s="2"/>
      <c r="R95" s="13"/>
    </row>
    <row r="96" spans="1:30" x14ac:dyDescent="0.25">
      <c r="A96" s="19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1"/>
    </row>
  </sheetData>
  <mergeCells count="14">
    <mergeCell ref="A69:A76"/>
    <mergeCell ref="C86:N86"/>
    <mergeCell ref="C87:F87"/>
    <mergeCell ref="G87:J87"/>
    <mergeCell ref="K87:N87"/>
    <mergeCell ref="A89:A92"/>
    <mergeCell ref="C4:Z4"/>
    <mergeCell ref="C5:J5"/>
    <mergeCell ref="K5:R5"/>
    <mergeCell ref="S5:Z5"/>
    <mergeCell ref="A7:A14"/>
    <mergeCell ref="C67:J67"/>
    <mergeCell ref="K67:R67"/>
    <mergeCell ref="S67:Z67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"/>
  <sheetViews>
    <sheetView workbookViewId="0"/>
  </sheetViews>
  <sheetFormatPr defaultRowHeight="15" x14ac:dyDescent="0.25"/>
  <cols>
    <col min="1" max="1" width="13.28515625" bestFit="1" customWidth="1"/>
    <col min="2" max="2" width="14.28515625" bestFit="1" customWidth="1"/>
    <col min="3" max="5" width="13.28515625" bestFit="1" customWidth="1"/>
    <col min="6" max="6" width="14.28515625" bestFit="1" customWidth="1"/>
    <col min="7" max="10" width="13.28515625" bestFit="1" customWidth="1"/>
    <col min="11" max="12" width="11.5703125" bestFit="1" customWidth="1"/>
    <col min="15" max="15" width="14.28515625" bestFit="1" customWidth="1"/>
  </cols>
  <sheetData>
    <row r="1" spans="1:19" x14ac:dyDescent="0.25">
      <c r="A1" s="113">
        <f>'BenchmarkIOMatrix-1995'!C22</f>
        <v>5564804.2664373862</v>
      </c>
      <c r="B1" s="113">
        <f>'BenchmarkIOMatrix-1995'!D22</f>
        <v>228785.35852844641</v>
      </c>
      <c r="C1" s="113">
        <f>'BenchmarkIOMatrix-1995'!E22</f>
        <v>94560.991268332247</v>
      </c>
      <c r="D1" s="113">
        <f>'BenchmarkIOMatrix-1995'!F22</f>
        <v>197436.19747258461</v>
      </c>
      <c r="E1" s="113">
        <f>'BenchmarkIOMatrix-1995'!G22</f>
        <v>5926949.1729290169</v>
      </c>
      <c r="F1" s="113">
        <f>'BenchmarkIOMatrix-1995'!H22</f>
        <v>80793.271593902246</v>
      </c>
      <c r="G1" s="113">
        <f>'BenchmarkIOMatrix-1995'!I22</f>
        <v>23796.918202255772</v>
      </c>
      <c r="H1" s="113">
        <f>'BenchmarkIOMatrix-1995'!J22</f>
        <v>39382.304926033845</v>
      </c>
      <c r="I1" s="113">
        <f>'BenchmarkIOMatrix-1995'!K22</f>
        <v>1218234.1868745731</v>
      </c>
      <c r="J1" s="113">
        <f>'BenchmarkIOMatrix-1995'!L22</f>
        <v>51246.054381103066</v>
      </c>
      <c r="K1" s="113">
        <f>'BenchmarkIOMatrix-1995'!M22</f>
        <v>23271.258425006239</v>
      </c>
      <c r="L1" s="113">
        <f>'BenchmarkIOMatrix-1995'!N22</f>
        <v>25952.957038492499</v>
      </c>
      <c r="M1" s="113"/>
      <c r="N1" s="113"/>
      <c r="O1" s="113"/>
      <c r="P1" s="113"/>
      <c r="Q1" s="113"/>
      <c r="R1" s="113"/>
      <c r="S1" s="113"/>
    </row>
    <row r="2" spans="1:19" x14ac:dyDescent="0.25">
      <c r="A2" s="113">
        <f>'BenchmarkIOMatrix-1995'!C23</f>
        <v>261470.69247068494</v>
      </c>
      <c r="B2" s="113">
        <f>'BenchmarkIOMatrix-1995'!D23</f>
        <v>12275066.818850553</v>
      </c>
      <c r="C2" s="113">
        <f>'BenchmarkIOMatrix-1995'!E23</f>
        <v>241701.14516750092</v>
      </c>
      <c r="D2" s="113">
        <f>'BenchmarkIOMatrix-1995'!F23</f>
        <v>399022.63325623551</v>
      </c>
      <c r="E2" s="113">
        <f>'BenchmarkIOMatrix-1995'!G23</f>
        <v>96252.139286830163</v>
      </c>
      <c r="F2" s="113">
        <f>'BenchmarkIOMatrix-1995'!H23</f>
        <v>10704035.358149167</v>
      </c>
      <c r="G2" s="113">
        <f>'BenchmarkIOMatrix-1995'!I23</f>
        <v>71946.141329368314</v>
      </c>
      <c r="H2" s="113">
        <f>'BenchmarkIOMatrix-1995'!J23</f>
        <v>110572.75313071824</v>
      </c>
      <c r="I2" s="113">
        <f>'BenchmarkIOMatrix-1995'!K23</f>
        <v>109753.5638649686</v>
      </c>
      <c r="J2" s="113">
        <f>'BenchmarkIOMatrix-1995'!L23</f>
        <v>3294355.465238513</v>
      </c>
      <c r="K2" s="113">
        <f>'BenchmarkIOMatrix-1995'!M23</f>
        <v>80501.005451682257</v>
      </c>
      <c r="L2" s="113">
        <f>'BenchmarkIOMatrix-1995'!N23</f>
        <v>126077.31593519982</v>
      </c>
    </row>
    <row r="3" spans="1:19" x14ac:dyDescent="0.25">
      <c r="A3" s="113">
        <f>'BenchmarkIOMatrix-1995'!C24</f>
        <v>95152.366388163427</v>
      </c>
      <c r="B3" s="113">
        <f>'BenchmarkIOMatrix-1995'!D24</f>
        <v>235463.17281323919</v>
      </c>
      <c r="C3" s="113">
        <f>'BenchmarkIOMatrix-1995'!E24</f>
        <v>3640906.9840632132</v>
      </c>
      <c r="D3" s="113">
        <f>'BenchmarkIOMatrix-1995'!F24</f>
        <v>107542.97285170347</v>
      </c>
      <c r="E3" s="113">
        <f>'BenchmarkIOMatrix-1995'!G24</f>
        <v>69612.719485673399</v>
      </c>
      <c r="F3" s="113">
        <f>'BenchmarkIOMatrix-1995'!H24</f>
        <v>118632.42681035015</v>
      </c>
      <c r="G3" s="113">
        <f>'BenchmarkIOMatrix-1995'!I24</f>
        <v>2571912.3435154334</v>
      </c>
      <c r="H3" s="113">
        <f>'BenchmarkIOMatrix-1995'!J24</f>
        <v>27544.246953702092</v>
      </c>
      <c r="I3" s="113">
        <f>'BenchmarkIOMatrix-1995'!K24</f>
        <v>30617.293819350543</v>
      </c>
      <c r="J3" s="113">
        <f>'BenchmarkIOMatrix-1995'!L24</f>
        <v>28805.311450726502</v>
      </c>
      <c r="K3" s="113">
        <f>'BenchmarkIOMatrix-1995'!M24</f>
        <v>981448.19822669344</v>
      </c>
      <c r="L3" s="113">
        <f>'BenchmarkIOMatrix-1995'!N24</f>
        <v>25405.79746879491</v>
      </c>
    </row>
    <row r="4" spans="1:19" x14ac:dyDescent="0.25">
      <c r="A4" s="113">
        <f>'BenchmarkIOMatrix-1995'!C25</f>
        <v>103957.0235870342</v>
      </c>
      <c r="B4" s="113">
        <f>'BenchmarkIOMatrix-1995'!D25</f>
        <v>268168.77441047278</v>
      </c>
      <c r="C4" s="113">
        <f>'BenchmarkIOMatrix-1995'!E25</f>
        <v>110477.23760934155</v>
      </c>
      <c r="D4" s="113">
        <f>'BenchmarkIOMatrix-1995'!F25</f>
        <v>2199233.0214599343</v>
      </c>
      <c r="E4" s="113">
        <f>'BenchmarkIOMatrix-1995'!G25</f>
        <v>47489.886967469742</v>
      </c>
      <c r="F4" s="113">
        <f>'BenchmarkIOMatrix-1995'!H25</f>
        <v>88682.262198576325</v>
      </c>
      <c r="G4" s="113">
        <f>'BenchmarkIOMatrix-1995'!I25</f>
        <v>26264.927119951724</v>
      </c>
      <c r="H4" s="113">
        <f>'BenchmarkIOMatrix-1995'!J25</f>
        <v>2458210.4419855447</v>
      </c>
      <c r="I4" s="113">
        <f>'BenchmarkIOMatrix-1995'!K25</f>
        <v>21947.139110096494</v>
      </c>
      <c r="J4" s="113">
        <f>'BenchmarkIOMatrix-1995'!L25</f>
        <v>25602.924875657292</v>
      </c>
      <c r="K4" s="113">
        <f>'BenchmarkIOMatrix-1995'!M25</f>
        <v>8714.6296226206923</v>
      </c>
      <c r="L4" s="113">
        <f>'BenchmarkIOMatrix-1995'!N25</f>
        <v>644548.46693251166</v>
      </c>
    </row>
    <row r="5" spans="1:19" x14ac:dyDescent="0.25">
      <c r="A5" s="113">
        <f>'BenchmarkIOMatrix-1995'!C26</f>
        <v>7449828.5891882153</v>
      </c>
      <c r="B5" s="113">
        <f>'BenchmarkIOMatrix-1995'!D26</f>
        <v>14763270.907534719</v>
      </c>
      <c r="C5" s="113">
        <f>'BenchmarkIOMatrix-1995'!E26</f>
        <v>3845397.4757379903</v>
      </c>
      <c r="D5" s="113">
        <f>'BenchmarkIOMatrix-1995'!F26</f>
        <v>3100061.9108390249</v>
      </c>
      <c r="E5" s="113">
        <f>'BenchmarkIOMatrix-1995'!G26</f>
        <v>0</v>
      </c>
      <c r="F5" s="113">
        <f>'BenchmarkIOMatrix-1995'!H26</f>
        <v>0</v>
      </c>
      <c r="G5" s="113">
        <f>'BenchmarkIOMatrix-1995'!I26</f>
        <v>0</v>
      </c>
      <c r="H5" s="113">
        <f>'BenchmarkIOMatrix-1995'!J26</f>
        <v>0</v>
      </c>
      <c r="I5" s="113">
        <f>'BenchmarkIOMatrix-1995'!K26</f>
        <v>0</v>
      </c>
      <c r="J5" s="113">
        <f>'BenchmarkIOMatrix-1995'!L26</f>
        <v>0</v>
      </c>
      <c r="K5" s="113">
        <f>'BenchmarkIOMatrix-1995'!M26</f>
        <v>0</v>
      </c>
      <c r="L5" s="113">
        <f>'BenchmarkIOMatrix-1995'!N26</f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"/>
  <sheetViews>
    <sheetView workbookViewId="0">
      <selection activeCell="D6" sqref="D6"/>
    </sheetView>
  </sheetViews>
  <sheetFormatPr defaultRowHeight="15" x14ac:dyDescent="0.25"/>
  <cols>
    <col min="1" max="7" width="14.28515625" bestFit="1" customWidth="1"/>
    <col min="8" max="12" width="13.28515625" bestFit="1" customWidth="1"/>
  </cols>
  <sheetData>
    <row r="1" spans="1:12" x14ac:dyDescent="0.25">
      <c r="A1" s="113">
        <f>'BenchmarkIOMatrix-2011'!C22</f>
        <v>10306379.447125269</v>
      </c>
      <c r="B1" s="113">
        <f>'BenchmarkIOMatrix-2011'!D22</f>
        <v>549324.81794091722</v>
      </c>
      <c r="C1" s="113">
        <f>'BenchmarkIOMatrix-2011'!E22</f>
        <v>391697.61347325478</v>
      </c>
      <c r="D1" s="113">
        <f>'BenchmarkIOMatrix-2011'!F22</f>
        <v>336565.88583077438</v>
      </c>
      <c r="E1" s="113">
        <f>'BenchmarkIOMatrix-2011'!G22</f>
        <v>12550153.846645599</v>
      </c>
      <c r="F1" s="113">
        <f>'BenchmarkIOMatrix-2011'!H22</f>
        <v>171732.13184028852</v>
      </c>
      <c r="G1" s="113">
        <f>'BenchmarkIOMatrix-2011'!I22</f>
        <v>85295.510448614252</v>
      </c>
      <c r="H1" s="113">
        <f>'BenchmarkIOMatrix-2011'!J22</f>
        <v>80719.625998742253</v>
      </c>
      <c r="I1" s="113">
        <f>'BenchmarkIOMatrix-2011'!K22</f>
        <v>2220513.0274413335</v>
      </c>
      <c r="J1" s="113">
        <f>'BenchmarkIOMatrix-2011'!L22</f>
        <v>98789.902683885448</v>
      </c>
      <c r="K1" s="113">
        <f>'BenchmarkIOMatrix-2011'!M22</f>
        <v>73958.748400755969</v>
      </c>
      <c r="L1" s="113">
        <f>'BenchmarkIOMatrix-2011'!N22</f>
        <v>52989.899935671303</v>
      </c>
    </row>
    <row r="2" spans="1:12" x14ac:dyDescent="0.25">
      <c r="A2" s="113">
        <f>'BenchmarkIOMatrix-2011'!C23</f>
        <v>570575.34752267471</v>
      </c>
      <c r="B2" s="113">
        <f>'BenchmarkIOMatrix-2011'!D23</f>
        <v>21462237.503009155</v>
      </c>
      <c r="C2" s="113">
        <f>'BenchmarkIOMatrix-2011'!E23</f>
        <v>1137640.990622676</v>
      </c>
      <c r="D2" s="113">
        <f>'BenchmarkIOMatrix-2011'!F23</f>
        <v>1259937.7767320678</v>
      </c>
      <c r="E2" s="113">
        <f>'BenchmarkIOMatrix-2011'!G23</f>
        <v>213327.07103005986</v>
      </c>
      <c r="F2" s="113">
        <f>'BenchmarkIOMatrix-2011'!H23</f>
        <v>19013617.186103728</v>
      </c>
      <c r="G2" s="113">
        <f>'BenchmarkIOMatrix-2011'!I23</f>
        <v>276272.92309509229</v>
      </c>
      <c r="H2" s="113">
        <f>'BenchmarkIOMatrix-2011'!J23</f>
        <v>392143.0066879412</v>
      </c>
      <c r="I2" s="113">
        <f>'BenchmarkIOMatrix-2011'!K23</f>
        <v>147379.58877491162</v>
      </c>
      <c r="J2" s="113">
        <f>'BenchmarkIOMatrix-2011'!L23</f>
        <v>4601199.1525577335</v>
      </c>
      <c r="K2" s="113">
        <f>'BenchmarkIOMatrix-2011'!M23</f>
        <v>241180.21379281138</v>
      </c>
      <c r="L2" s="113">
        <f>'BenchmarkIOMatrix-2011'!N23</f>
        <v>193140.60273949904</v>
      </c>
    </row>
    <row r="3" spans="1:12" x14ac:dyDescent="0.25">
      <c r="A3" s="113">
        <f>'BenchmarkIOMatrix-2011'!C24</f>
        <v>503038.53525201185</v>
      </c>
      <c r="B3" s="113">
        <f>'BenchmarkIOMatrix-2011'!D24</f>
        <v>1200926.5233248663</v>
      </c>
      <c r="C3" s="113">
        <f>'BenchmarkIOMatrix-2011'!E24</f>
        <v>22731672.083738822</v>
      </c>
      <c r="D3" s="113">
        <f>'BenchmarkIOMatrix-2011'!F24</f>
        <v>785916.22589041572</v>
      </c>
      <c r="E3" s="113">
        <f>'BenchmarkIOMatrix-2011'!G24</f>
        <v>243474.3144166189</v>
      </c>
      <c r="F3" s="113">
        <f>'BenchmarkIOMatrix-2011'!H24</f>
        <v>490034.86511489033</v>
      </c>
      <c r="G3" s="113">
        <f>'BenchmarkIOMatrix-2011'!I24</f>
        <v>10663687.467151223</v>
      </c>
      <c r="H3" s="113">
        <f>'BenchmarkIOMatrix-2011'!J24</f>
        <v>223563.40036704767</v>
      </c>
      <c r="I3" s="113">
        <f>'BenchmarkIOMatrix-2011'!K24</f>
        <v>181489.85023259622</v>
      </c>
      <c r="J3" s="113">
        <f>'BenchmarkIOMatrix-2011'!L24</f>
        <v>228543.23840315937</v>
      </c>
      <c r="K3" s="113">
        <f>'BenchmarkIOMatrix-2011'!M24</f>
        <v>5782164.3025137261</v>
      </c>
      <c r="L3" s="113">
        <f>'BenchmarkIOMatrix-2011'!N24</f>
        <v>202678.01412671167</v>
      </c>
    </row>
    <row r="4" spans="1:12" x14ac:dyDescent="0.25">
      <c r="A4" s="113">
        <f>'BenchmarkIOMatrix-2011'!C25</f>
        <v>376945.35286952276</v>
      </c>
      <c r="B4" s="113">
        <f>'BenchmarkIOMatrix-2011'!D25</f>
        <v>962479.77067329502</v>
      </c>
      <c r="C4" s="113">
        <f>'BenchmarkIOMatrix-2011'!E25</f>
        <v>1072041.4915585967</v>
      </c>
      <c r="D4" s="113">
        <f>'BenchmarkIOMatrix-2011'!F25</f>
        <v>8847927.661641378</v>
      </c>
      <c r="E4" s="113">
        <f>'BenchmarkIOMatrix-2011'!G25</f>
        <v>137323.85814262272</v>
      </c>
      <c r="F4" s="113">
        <f>'BenchmarkIOMatrix-2011'!H25</f>
        <v>347433.77035989577</v>
      </c>
      <c r="G4" s="113">
        <f>'BenchmarkIOMatrix-2011'!I25</f>
        <v>171793.45866906634</v>
      </c>
      <c r="H4" s="113">
        <f>'BenchmarkIOMatrix-2011'!J25</f>
        <v>7526875.9501492688</v>
      </c>
      <c r="I4" s="113">
        <f>'BenchmarkIOMatrix-2011'!K25</f>
        <v>25431.467481156804</v>
      </c>
      <c r="J4" s="113">
        <f>'BenchmarkIOMatrix-2011'!L25</f>
        <v>48846.02627622032</v>
      </c>
      <c r="K4" s="113">
        <f>'BenchmarkIOMatrix-2011'!M25</f>
        <v>86951.686356645325</v>
      </c>
      <c r="L4" s="113">
        <f>'BenchmarkIOMatrix-2011'!N25</f>
        <v>2499873.0673511075</v>
      </c>
    </row>
    <row r="5" spans="1:12" x14ac:dyDescent="0.25">
      <c r="A5" s="113">
        <f>'BenchmarkIOMatrix-2011'!C26</f>
        <v>15161181.775001423</v>
      </c>
      <c r="B5" s="113">
        <f>'BenchmarkIOMatrix-2011'!D26</f>
        <v>25333682.747717638</v>
      </c>
      <c r="C5" s="113">
        <f>'BenchmarkIOMatrix-2011'!E26</f>
        <v>17904136.641136434</v>
      </c>
      <c r="D5" s="113">
        <f>'BenchmarkIOMatrix-2011'!F26</f>
        <v>10873576.011433288</v>
      </c>
      <c r="E5" s="113">
        <f>'BenchmarkIOMatrix-2011'!G26</f>
        <v>0</v>
      </c>
      <c r="F5" s="113">
        <f>'BenchmarkIOMatrix-2011'!H26</f>
        <v>0</v>
      </c>
      <c r="G5" s="113">
        <f>'BenchmarkIOMatrix-2011'!I26</f>
        <v>0</v>
      </c>
      <c r="H5" s="113">
        <f>'BenchmarkIOMatrix-2011'!J26</f>
        <v>0</v>
      </c>
      <c r="I5" s="113">
        <f>'BenchmarkIOMatrix-2011'!K26</f>
        <v>0</v>
      </c>
      <c r="J5" s="113">
        <f>'BenchmarkIOMatrix-2011'!L26</f>
        <v>0</v>
      </c>
      <c r="K5" s="113">
        <f>'BenchmarkIOMatrix-2011'!M26</f>
        <v>0</v>
      </c>
      <c r="L5" s="113">
        <f>'BenchmarkIOMatrix-2011'!N26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5"/>
  <sheetViews>
    <sheetView topLeftCell="C1" workbookViewId="0">
      <selection activeCell="L1" sqref="L1"/>
    </sheetView>
  </sheetViews>
  <sheetFormatPr defaultRowHeight="15" x14ac:dyDescent="0.25"/>
  <cols>
    <col min="1" max="1" width="17.85546875" bestFit="1" customWidth="1"/>
    <col min="2" max="2" width="18.85546875" bestFit="1" customWidth="1"/>
    <col min="3" max="12" width="17.85546875" bestFit="1" customWidth="1"/>
  </cols>
  <sheetData>
    <row r="1" spans="1:12" x14ac:dyDescent="0.25">
      <c r="A1" s="140">
        <f>'Alt1-Size'!C65</f>
        <v>4713615.5715418914</v>
      </c>
      <c r="B1" s="140">
        <f>'Alt1-Size'!D65</f>
        <v>179242.2440370408</v>
      </c>
      <c r="C1" s="140">
        <f>'Alt1-Size'!E65</f>
        <v>122484.17854780096</v>
      </c>
      <c r="D1" s="140">
        <f>'Alt1-Size'!F65</f>
        <v>223743.8776979087</v>
      </c>
      <c r="E1" s="140">
        <f>'Alt1-Size'!G65</f>
        <v>5037436.44483307</v>
      </c>
      <c r="F1" s="140">
        <f>'Alt1-Size'!H65</f>
        <v>64142.738260093</v>
      </c>
      <c r="G1" s="140">
        <f>'Alt1-Size'!I65</f>
        <v>30163.944288837629</v>
      </c>
      <c r="H1" s="140">
        <f>'Alt1-Size'!J65</f>
        <v>40838.094569163346</v>
      </c>
      <c r="I1" s="140">
        <f>'Alt1-Size'!K65</f>
        <v>1032478.8248907616</v>
      </c>
      <c r="J1" s="140">
        <f>'Alt1-Size'!L65</f>
        <v>40731.300235484414</v>
      </c>
      <c r="K1" s="140">
        <f>'Alt1-Size'!M65</f>
        <v>30247.624618840615</v>
      </c>
      <c r="L1" s="140">
        <f>'Alt1-Size'!N65</f>
        <v>28099.115741722617</v>
      </c>
    </row>
    <row r="2" spans="1:12" x14ac:dyDescent="0.25">
      <c r="A2" s="140">
        <f>'Alt1-Size'!C66</f>
        <v>198844.81141525862</v>
      </c>
      <c r="B2" s="140">
        <f>'Alt1-Size'!D66</f>
        <v>8634217.5919901486</v>
      </c>
      <c r="C2" s="140">
        <f>'Alt1-Size'!E66</f>
        <v>281082.40790331812</v>
      </c>
      <c r="D2" s="140">
        <f>'Alt1-Size'!F66</f>
        <v>405983.97575987375</v>
      </c>
      <c r="E2" s="140">
        <f>'Alt1-Size'!G66</f>
        <v>73447.285121006556</v>
      </c>
      <c r="F2" s="140">
        <f>'Alt1-Size'!H66</f>
        <v>7629688.654885672</v>
      </c>
      <c r="G2" s="140">
        <f>'Alt1-Size'!I66</f>
        <v>81876.995589111946</v>
      </c>
      <c r="H2" s="140">
        <f>'Alt1-Size'!J66</f>
        <v>102943.6215605811</v>
      </c>
      <c r="I2" s="140">
        <f>'Alt1-Size'!K66</f>
        <v>83513.364710475638</v>
      </c>
      <c r="J2" s="140">
        <f>'Alt1-Size'!L66</f>
        <v>2350851.9463139661</v>
      </c>
      <c r="K2" s="140">
        <f>'Alt1-Size'!M66</f>
        <v>93941.975761797527</v>
      </c>
      <c r="L2" s="140">
        <f>'Alt1-Size'!N66</f>
        <v>122554.63459199968</v>
      </c>
    </row>
    <row r="3" spans="1:12" x14ac:dyDescent="0.25">
      <c r="A3" s="140">
        <f>'Alt1-Size'!C67</f>
        <v>126613.08773122978</v>
      </c>
      <c r="B3" s="140">
        <f>'Alt1-Size'!D67</f>
        <v>289794.32510266366</v>
      </c>
      <c r="C3" s="140">
        <f>'Alt1-Size'!E67</f>
        <v>7408534.3997067101</v>
      </c>
      <c r="D3" s="140">
        <f>'Alt1-Size'!F67</f>
        <v>191452.55221509401</v>
      </c>
      <c r="E3" s="140">
        <f>'Alt1-Size'!G67</f>
        <v>92944.076646684785</v>
      </c>
      <c r="F3" s="140">
        <f>'Alt1-Size'!H67</f>
        <v>147955.27594101676</v>
      </c>
      <c r="G3" s="140">
        <f>'Alt1-Size'!I67</f>
        <v>5121277.5716650067</v>
      </c>
      <c r="H3" s="140">
        <f>'Alt1-Size'!J67</f>
        <v>44869.371225069728</v>
      </c>
      <c r="I3" s="140">
        <f>'Alt1-Size'!K67</f>
        <v>40763.541935476154</v>
      </c>
      <c r="J3" s="140">
        <f>'Alt1-Size'!L67</f>
        <v>35966.249796895187</v>
      </c>
      <c r="K3" s="140">
        <f>'Alt1-Size'!M67</f>
        <v>2003980.6689266767</v>
      </c>
      <c r="L3" s="140">
        <f>'Alt1-Size'!N67</f>
        <v>43210.906486728432</v>
      </c>
    </row>
    <row r="4" spans="1:12" x14ac:dyDescent="0.25">
      <c r="A4" s="140">
        <f>'Alt1-Size'!C68</f>
        <v>122430.19528804292</v>
      </c>
      <c r="B4" s="140">
        <f>'Alt1-Size'!D68</f>
        <v>292112.93679985608</v>
      </c>
      <c r="C4" s="140">
        <f>'Alt1-Size'!E68</f>
        <v>198962.4972348201</v>
      </c>
      <c r="D4" s="140">
        <f>'Alt1-Size'!F68</f>
        <v>3465182.1554059675</v>
      </c>
      <c r="E4" s="140">
        <f>'Alt1-Size'!G68</f>
        <v>56119.003651631116</v>
      </c>
      <c r="F4" s="140">
        <f>'Alt1-Size'!H68</f>
        <v>97890.264855064583</v>
      </c>
      <c r="G4" s="140">
        <f>'Alt1-Size'!I68</f>
        <v>46288.60059103799</v>
      </c>
      <c r="H4" s="140">
        <f>'Alt1-Size'!J68</f>
        <v>3544164.2307827985</v>
      </c>
      <c r="I4" s="140">
        <f>'Alt1-Size'!K68</f>
        <v>25861.798647484851</v>
      </c>
      <c r="J4" s="140">
        <f>'Alt1-Size'!L68</f>
        <v>28293.577352461009</v>
      </c>
      <c r="K4" s="140">
        <f>'Alt1-Size'!M68</f>
        <v>15748.920066597793</v>
      </c>
      <c r="L4" s="140">
        <f>'Alt1-Size'!N68</f>
        <v>970268.25875673303</v>
      </c>
    </row>
    <row r="5" spans="1:12" x14ac:dyDescent="0.25">
      <c r="A5" s="140">
        <f>'Alt1-Size'!C69</f>
        <v>6381720.2932775421</v>
      </c>
      <c r="B5" s="140">
        <f>'Alt1-Size'!D69</f>
        <v>10663580.167674599</v>
      </c>
      <c r="C5" s="140">
        <f>'Alt1-Size'!E69</f>
        <v>7536298.543994966</v>
      </c>
      <c r="D5" s="140">
        <f>'Alt1-Size'!F69</f>
        <v>4576959.8783533275</v>
      </c>
      <c r="E5" s="140">
        <f>'Alt1-Size'!G69</f>
        <v>0</v>
      </c>
      <c r="F5" s="140">
        <f>'Alt1-Size'!H69</f>
        <v>0</v>
      </c>
      <c r="G5" s="140">
        <f>'Alt1-Size'!I69</f>
        <v>0</v>
      </c>
      <c r="H5" s="140">
        <f>'Alt1-Size'!J69</f>
        <v>0</v>
      </c>
      <c r="I5" s="140">
        <f>'Alt1-Size'!K69</f>
        <v>0</v>
      </c>
      <c r="J5" s="140">
        <f>'Alt1-Size'!L69</f>
        <v>0</v>
      </c>
      <c r="K5" s="140">
        <f>'Alt1-Size'!M69</f>
        <v>0</v>
      </c>
      <c r="L5" s="140">
        <f>'Alt1-Size'!N69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5"/>
  <sheetViews>
    <sheetView topLeftCell="C1" workbookViewId="0">
      <selection activeCell="H11" sqref="H11"/>
    </sheetView>
  </sheetViews>
  <sheetFormatPr defaultRowHeight="15" x14ac:dyDescent="0.25"/>
  <cols>
    <col min="1" max="2" width="11.5703125" bestFit="1" customWidth="1"/>
    <col min="3" max="7" width="17.85546875" bestFit="1" customWidth="1"/>
    <col min="8" max="12" width="16.7109375" bestFit="1" customWidth="1"/>
  </cols>
  <sheetData>
    <row r="1" spans="1:12" x14ac:dyDescent="0.25">
      <c r="A1" s="121">
        <f>'Alt2-Trd'!C84</f>
        <v>5514335.082989132</v>
      </c>
      <c r="B1" s="121">
        <f>'Alt2-Trd'!D84</f>
        <v>180078.57991006409</v>
      </c>
      <c r="C1" s="139">
        <f>'Alt2-Trd'!E84</f>
        <v>174583.97854961603</v>
      </c>
      <c r="D1" s="139">
        <f>'Alt2-Trd'!F84</f>
        <v>229360.51816816593</v>
      </c>
      <c r="E1" s="139">
        <f>'Alt2-Trd'!G84</f>
        <v>5903570.307426854</v>
      </c>
      <c r="F1" s="139">
        <f>'Alt2-Trd'!H84</f>
        <v>60267.569003432698</v>
      </c>
      <c r="G1" s="139">
        <f>'Alt2-Trd'!I84</f>
        <v>44689.92211495019</v>
      </c>
      <c r="H1" s="139">
        <f>'Alt2-Trd'!J84</f>
        <v>45429.929800433085</v>
      </c>
      <c r="I1" s="139">
        <f>'Alt2-Trd'!K84</f>
        <v>1200447.7973453619</v>
      </c>
      <c r="J1" s="139">
        <f>'Alt2-Trd'!L84</f>
        <v>44733.697760554089</v>
      </c>
      <c r="K1" s="139">
        <f>'Alt2-Trd'!M84</f>
        <v>47515.790100380276</v>
      </c>
      <c r="L1" s="139">
        <f>'Alt2-Trd'!N84</f>
        <v>30199.764899615377</v>
      </c>
    </row>
    <row r="2" spans="1:12" x14ac:dyDescent="0.25">
      <c r="A2" s="121">
        <f>'Alt2-Trd'!C85</f>
        <v>202081.86769775505</v>
      </c>
      <c r="B2" s="121">
        <f>'Alt2-Trd'!D85</f>
        <v>11960655.423615998</v>
      </c>
      <c r="C2" s="139">
        <f>'Alt2-Trd'!E85</f>
        <v>487864.62345947616</v>
      </c>
      <c r="D2" s="139">
        <f>'Alt2-Trd'!F85</f>
        <v>506777.89395577332</v>
      </c>
      <c r="E2" s="139">
        <f>'Alt2-Trd'!G85</f>
        <v>66686.06976471431</v>
      </c>
      <c r="F2" s="139">
        <f>'Alt2-Trd'!H85</f>
        <v>10580356.650449611</v>
      </c>
      <c r="G2" s="139">
        <f>'Alt2-Trd'!I85</f>
        <v>147715.01249409033</v>
      </c>
      <c r="H2" s="139">
        <f>'Alt2-Trd'!J85</f>
        <v>139449.61111438568</v>
      </c>
      <c r="I2" s="139">
        <f>'Alt2-Trd'!K85</f>
        <v>90076.057231714585</v>
      </c>
      <c r="J2" s="139">
        <f>'Alt2-Trd'!L85</f>
        <v>3249000.2931347159</v>
      </c>
      <c r="K2" s="139">
        <f>'Alt2-Trd'!M85</f>
        <v>179699.81912671364</v>
      </c>
      <c r="L2" s="139">
        <f>'Alt2-Trd'!N85</f>
        <v>160391.7100895987</v>
      </c>
    </row>
    <row r="3" spans="1:12" x14ac:dyDescent="0.25">
      <c r="A3" s="121">
        <f>'Alt2-Trd'!C86</f>
        <v>176690.49842322656</v>
      </c>
      <c r="B3" s="121">
        <f>'Alt2-Trd'!D86</f>
        <v>486826.64801207441</v>
      </c>
      <c r="C3" s="139">
        <f>'Alt2-Trd'!E86</f>
        <v>3058068.2697933149</v>
      </c>
      <c r="D3" s="139">
        <f>'Alt2-Trd'!F86</f>
        <v>328164.38189401041</v>
      </c>
      <c r="E3" s="139">
        <f>'Alt2-Trd'!G86</f>
        <v>115878.43045278685</v>
      </c>
      <c r="F3" s="139">
        <f>'Alt2-Trd'!H86</f>
        <v>232449.92765922833</v>
      </c>
      <c r="G3" s="139">
        <f>'Alt2-Trd'!I86</f>
        <v>2412734.5718614673</v>
      </c>
      <c r="H3" s="139">
        <f>'Alt2-Trd'!J86</f>
        <v>83462.110055487094</v>
      </c>
      <c r="I3" s="139">
        <f>'Alt2-Trd'!K86</f>
        <v>60373.563590639933</v>
      </c>
      <c r="J3" s="139">
        <f>'Alt2-Trd'!L86</f>
        <v>66048.728700856824</v>
      </c>
      <c r="K3" s="139">
        <f>'Alt2-Trd'!M86</f>
        <v>834692.12480151374</v>
      </c>
      <c r="L3" s="139">
        <f>'Alt2-Trd'!N86</f>
        <v>77654.578601904213</v>
      </c>
    </row>
    <row r="4" spans="1:12" x14ac:dyDescent="0.25">
      <c r="A4" s="121">
        <f>'Alt2-Trd'!C87</f>
        <v>132276.89976458176</v>
      </c>
      <c r="B4" s="121">
        <f>'Alt2-Trd'!D87</f>
        <v>379923.47306769941</v>
      </c>
      <c r="C4" s="139">
        <f>'Alt2-Trd'!E87</f>
        <v>367129.48630544863</v>
      </c>
      <c r="D4" s="139">
        <f>'Alt2-Trd'!F87</f>
        <v>1838932.0310286223</v>
      </c>
      <c r="E4" s="139">
        <f>'Alt2-Trd'!G87</f>
        <v>54169.111024634592</v>
      </c>
      <c r="F4" s="139">
        <f>'Alt2-Trd'!H87</f>
        <v>119069.17163972408</v>
      </c>
      <c r="G4" s="139">
        <f>'Alt2-Trd'!I87</f>
        <v>88780.823696501015</v>
      </c>
      <c r="H4" s="139">
        <f>'Alt2-Trd'!J87</f>
        <v>2367368.0960256932</v>
      </c>
      <c r="I4" s="139">
        <f>'Alt2-Trd'!K87</f>
        <v>29654.76550127265</v>
      </c>
      <c r="J4" s="139">
        <f>'Alt2-Trd'!L87</f>
        <v>40227.036349872891</v>
      </c>
      <c r="K4" s="139">
        <f>'Alt2-Trd'!M87</f>
        <v>32027.357697395102</v>
      </c>
      <c r="L4" s="139">
        <f>'Alt2-Trd'!N87</f>
        <v>553738.48378388071</v>
      </c>
    </row>
    <row r="5" spans="1:12" x14ac:dyDescent="0.25">
      <c r="A5" s="121">
        <f>'Alt2-Trd'!C88</f>
        <v>7449828.5891967863</v>
      </c>
      <c r="B5" s="121">
        <f>'Alt2-Trd'!D88</f>
        <v>14763270.907531595</v>
      </c>
      <c r="C5" s="139">
        <f>'Alt2-Trd'!E88</f>
        <v>3845397.4757385231</v>
      </c>
      <c r="D5" s="139">
        <f>'Alt2-Trd'!F88</f>
        <v>3100061.9108329108</v>
      </c>
      <c r="E5" s="139">
        <f>'Alt2-Trd'!G88</f>
        <v>0</v>
      </c>
      <c r="F5" s="139">
        <f>'Alt2-Trd'!H88</f>
        <v>0</v>
      </c>
      <c r="G5" s="139">
        <f>'Alt2-Trd'!I88</f>
        <v>0</v>
      </c>
      <c r="H5" s="139">
        <f>'Alt2-Trd'!J88</f>
        <v>0</v>
      </c>
      <c r="I5" s="139">
        <f>'Alt2-Trd'!K88</f>
        <v>0</v>
      </c>
      <c r="J5" s="139">
        <f>'Alt2-Trd'!L88</f>
        <v>0</v>
      </c>
      <c r="K5" s="139">
        <f>'Alt2-Trd'!M88</f>
        <v>0</v>
      </c>
      <c r="L5" s="139">
        <f>'Alt2-Trd'!N88</f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"/>
  <sheetViews>
    <sheetView topLeftCell="I1" workbookViewId="0">
      <selection activeCell="L22" sqref="L22"/>
    </sheetView>
  </sheetViews>
  <sheetFormatPr defaultRowHeight="15" x14ac:dyDescent="0.25"/>
  <cols>
    <col min="1" max="2" width="11.5703125" bestFit="1" customWidth="1"/>
    <col min="3" max="7" width="19.85546875" bestFit="1" customWidth="1"/>
    <col min="8" max="12" width="18.85546875" bestFit="1" customWidth="1"/>
  </cols>
  <sheetData>
    <row r="1" spans="1:12" x14ac:dyDescent="0.25">
      <c r="A1" s="121">
        <f>'Alt3-IO'!C89</f>
        <v>5564804.2664317656</v>
      </c>
      <c r="B1" s="121">
        <f>'Alt3-IO'!D89</f>
        <v>246665.08590243309</v>
      </c>
      <c r="C1" s="137">
        <f>'Alt3-IO'!E89</f>
        <v>101354.3090165913</v>
      </c>
      <c r="D1" s="137">
        <f>'Alt3-IO'!F89</f>
        <v>204748.85220590205</v>
      </c>
      <c r="E1" s="137">
        <f>'Alt3-IO'!G89</f>
        <v>5940881.4554538783</v>
      </c>
      <c r="F1" s="137">
        <f>'Alt3-IO'!H89</f>
        <v>69219.786289492826</v>
      </c>
      <c r="G1" s="137">
        <f>'Alt3-IO'!I89</f>
        <v>20334.544472252659</v>
      </c>
      <c r="H1" s="137">
        <f>'Alt3-IO'!J89</f>
        <v>35661.389069443707</v>
      </c>
      <c r="I1" s="137">
        <f>'Alt3-IO'!K89</f>
        <v>1228833.7176343231</v>
      </c>
      <c r="J1" s="137">
        <f>'Alt3-IO'!L89</f>
        <v>43926.571466463574</v>
      </c>
      <c r="K1" s="137">
        <f>'Alt3-IO'!M89</f>
        <v>19831.767476516325</v>
      </c>
      <c r="L1" s="137">
        <f>'Alt3-IO'!N89</f>
        <v>23483.005937503229</v>
      </c>
    </row>
    <row r="2" spans="1:12" x14ac:dyDescent="0.25">
      <c r="A2" s="121">
        <f>'Alt3-IO'!C90</f>
        <v>276747.28486813803</v>
      </c>
      <c r="B2" s="121">
        <f>'Alt3-IO'!D90</f>
        <v>12275066.818856552</v>
      </c>
      <c r="C2" s="137">
        <f>'Alt3-IO'!E90</f>
        <v>261633.54379824849</v>
      </c>
      <c r="D2" s="137">
        <f>'Alt3-IO'!F90</f>
        <v>417904.20655172592</v>
      </c>
      <c r="E2" s="137">
        <f>'Alt3-IO'!G90</f>
        <v>90417.182504532844</v>
      </c>
      <c r="F2" s="137">
        <f>'Alt3-IO'!H90</f>
        <v>10745248.849959064</v>
      </c>
      <c r="G2" s="137">
        <f>'Alt3-IO'!I90</f>
        <v>62087.725633124574</v>
      </c>
      <c r="H2" s="137">
        <f>'Alt3-IO'!J90</f>
        <v>101118.30077683898</v>
      </c>
      <c r="I2" s="137">
        <f>'Alt3-IO'!K90</f>
        <v>102896.53145086674</v>
      </c>
      <c r="J2" s="137">
        <f>'Alt3-IO'!L90</f>
        <v>3309469.1824563313</v>
      </c>
      <c r="K2" s="137">
        <f>'Alt3-IO'!M90</f>
        <v>69283.109676904511</v>
      </c>
      <c r="L2" s="137">
        <f>'Alt3-IO'!N90</f>
        <v>115209.50463093512</v>
      </c>
    </row>
    <row r="3" spans="1:12" x14ac:dyDescent="0.25">
      <c r="A3" s="121">
        <f>'Alt3-IO'!C91</f>
        <v>100571.07725288712</v>
      </c>
      <c r="B3" s="121">
        <f>'Alt3-IO'!D91</f>
        <v>256023.6692553797</v>
      </c>
      <c r="C3" s="137">
        <f>'Alt3-IO'!E91</f>
        <v>3640906.9840625534</v>
      </c>
      <c r="D3" s="137">
        <f>'Alt3-IO'!F91</f>
        <v>112474.58695362767</v>
      </c>
      <c r="E3" s="137">
        <f>'Alt3-IO'!G91</f>
        <v>65301.376521476544</v>
      </c>
      <c r="F3" s="137">
        <f>'Alt3-IO'!H91</f>
        <v>102502.89839925765</v>
      </c>
      <c r="G3" s="137">
        <f>'Alt3-IO'!I91</f>
        <v>2589292.9481973569</v>
      </c>
      <c r="H3" s="137">
        <f>'Alt3-IO'!J91</f>
        <v>25153.921440293649</v>
      </c>
      <c r="I3" s="137">
        <f>'Alt3-IO'!K91</f>
        <v>28664.347675053439</v>
      </c>
      <c r="J3" s="137">
        <f>'Alt3-IO'!L91</f>
        <v>24901.019077202054</v>
      </c>
      <c r="K3" s="137">
        <f>'Alt3-IO'!M91</f>
        <v>997472.47894359764</v>
      </c>
      <c r="L3" s="137">
        <f>'Alt3-IO'!N91</f>
        <v>23183.411467194714</v>
      </c>
    </row>
    <row r="4" spans="1:12" x14ac:dyDescent="0.25">
      <c r="A4" s="121">
        <f>'Alt3-IO'!C92</f>
        <v>107793.53360946888</v>
      </c>
      <c r="B4" s="121">
        <f>'Alt3-IO'!D92</f>
        <v>286055.75962206157</v>
      </c>
      <c r="C4" s="137">
        <f>'Alt3-IO'!E92</f>
        <v>117156.40662916261</v>
      </c>
      <c r="D4" s="137">
        <f>'Alt3-IO'!F92</f>
        <v>2199233.0214602062</v>
      </c>
      <c r="E4" s="137">
        <f>'Alt3-IO'!G92</f>
        <v>43703.904189102017</v>
      </c>
      <c r="F4" s="137">
        <f>'Alt3-IO'!H92</f>
        <v>75171.784104180711</v>
      </c>
      <c r="G4" s="137">
        <f>'Alt3-IO'!I92</f>
        <v>22205.11186427495</v>
      </c>
      <c r="H4" s="137">
        <f>'Alt3-IO'!J92</f>
        <v>2473776.1357094226</v>
      </c>
      <c r="I4" s="137">
        <f>'Alt3-IO'!K92</f>
        <v>20157.586908745729</v>
      </c>
      <c r="J4" s="137">
        <f>'Alt3-IO'!L92</f>
        <v>21712.982946002801</v>
      </c>
      <c r="K4" s="137">
        <f>'Alt3-IO'!M92</f>
        <v>7347.7356289843192</v>
      </c>
      <c r="L4" s="137">
        <f>'Alt3-IO'!N92</f>
        <v>660108.6153393659</v>
      </c>
    </row>
    <row r="5" spans="1:12" x14ac:dyDescent="0.25">
      <c r="A5" s="121">
        <f>'Alt3-IO'!C93</f>
        <v>7449828.5891938359</v>
      </c>
      <c r="B5" s="121">
        <f>'Alt3-IO'!D93</f>
        <v>14763270.907528723</v>
      </c>
      <c r="C5" s="137">
        <f>'Alt3-IO'!E93</f>
        <v>3845397.4757386507</v>
      </c>
      <c r="D5" s="137">
        <f>'Alt3-IO'!F93</f>
        <v>3100061.9108387535</v>
      </c>
      <c r="E5" s="137">
        <f>'Alt3-IO'!G93</f>
        <v>0</v>
      </c>
      <c r="F5" s="137">
        <f>'Alt3-IO'!H93</f>
        <v>0</v>
      </c>
      <c r="G5" s="137">
        <f>'Alt3-IO'!I93</f>
        <v>0</v>
      </c>
      <c r="H5" s="137">
        <f>'Alt3-IO'!J93</f>
        <v>0</v>
      </c>
      <c r="I5" s="137">
        <f>'Alt3-IO'!K93</f>
        <v>0</v>
      </c>
      <c r="J5" s="137">
        <f>'Alt3-IO'!L93</f>
        <v>0</v>
      </c>
      <c r="K5" s="137">
        <f>'Alt3-IO'!M93</f>
        <v>0</v>
      </c>
      <c r="L5" s="137">
        <f>'Alt3-IO'!N93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5"/>
  <sheetViews>
    <sheetView topLeftCell="I1" workbookViewId="0">
      <selection activeCell="K9" sqref="K9"/>
    </sheetView>
  </sheetViews>
  <sheetFormatPr defaultRowHeight="15" x14ac:dyDescent="0.25"/>
  <cols>
    <col min="1" max="3" width="20.85546875" bestFit="1" customWidth="1"/>
    <col min="4" max="4" width="19.85546875" bestFit="1" customWidth="1"/>
    <col min="5" max="7" width="20.85546875" bestFit="1" customWidth="1"/>
    <col min="8" max="12" width="19.85546875" bestFit="1" customWidth="1"/>
  </cols>
  <sheetData>
    <row r="1" spans="1:12" x14ac:dyDescent="0.25">
      <c r="A1" s="141">
        <f>'Alt4-NX'!C80</f>
        <v>19290223.449213341</v>
      </c>
      <c r="B1" s="141">
        <f>'Alt4-NX'!D80</f>
        <v>219267.42022478289</v>
      </c>
      <c r="C1" s="141">
        <f>'Alt4-NX'!E80</f>
        <v>76352.771208149716</v>
      </c>
      <c r="D1" s="141">
        <f>'Alt4-NX'!F80</f>
        <v>166102.19755531597</v>
      </c>
      <c r="E1" s="141">
        <f>'Alt4-NX'!G80</f>
        <v>5772310.8773235064</v>
      </c>
      <c r="F1" s="141">
        <f>'Alt4-NX'!H80</f>
        <v>77297.942748738133</v>
      </c>
      <c r="G1" s="141">
        <f>'Alt4-NX'!I80</f>
        <v>19309.944331831146</v>
      </c>
      <c r="H1" s="141">
        <f>'Alt4-NX'!J80</f>
        <v>33024.299123352183</v>
      </c>
      <c r="I1" s="141">
        <f>'Alt4-NX'!K80</f>
        <v>1172266.4564311651</v>
      </c>
      <c r="J1" s="141">
        <f>'Alt4-NX'!L80</f>
        <v>50876.64277877703</v>
      </c>
      <c r="K1" s="141">
        <f>'Alt4-NX'!M80</f>
        <v>19376.567700371237</v>
      </c>
      <c r="L1" s="141">
        <f>'Alt4-NX'!N80</f>
        <v>21711.889133327306</v>
      </c>
    </row>
    <row r="2" spans="1:12" x14ac:dyDescent="0.25">
      <c r="A2" s="141">
        <f>'Alt4-NX'!C81</f>
        <v>268956.89779693529</v>
      </c>
      <c r="B2" s="141">
        <f>'Alt4-NX'!D81</f>
        <v>34399420.055209301</v>
      </c>
      <c r="C2" s="141">
        <f>'Alt4-NX'!E81</f>
        <v>205632.20062837825</v>
      </c>
      <c r="D2" s="141">
        <f>'Alt4-NX'!F81</f>
        <v>353708.71259574831</v>
      </c>
      <c r="E2" s="141">
        <f>'Alt4-NX'!G81</f>
        <v>97712.554806222848</v>
      </c>
      <c r="F2" s="141">
        <f>'Alt4-NX'!H81</f>
        <v>10498286.155263906</v>
      </c>
      <c r="G2" s="141">
        <f>'Alt4-NX'!I81</f>
        <v>61513.074979744473</v>
      </c>
      <c r="H2" s="141">
        <f>'Alt4-NX'!J81</f>
        <v>97696.775295639512</v>
      </c>
      <c r="I2" s="141">
        <f>'Alt4-NX'!K81</f>
        <v>114945.63951855595</v>
      </c>
      <c r="J2" s="141">
        <f>'Alt4-NX'!L81</f>
        <v>3229020.283202406</v>
      </c>
      <c r="K2" s="141">
        <f>'Alt4-NX'!M81</f>
        <v>70624.910891780703</v>
      </c>
      <c r="L2" s="141">
        <f>'Alt4-NX'!N81</f>
        <v>111134.10248030361</v>
      </c>
    </row>
    <row r="3" spans="1:12" x14ac:dyDescent="0.25">
      <c r="A3" s="141">
        <f>'Alt4-NX'!C82</f>
        <v>109923.4648906542</v>
      </c>
      <c r="B3" s="141">
        <f>'Alt4-NX'!D82</f>
        <v>267042.04439517303</v>
      </c>
      <c r="C3" s="141">
        <f>'Alt4-NX'!E82</f>
        <v>38673281.975603566</v>
      </c>
      <c r="D3" s="141">
        <f>'Alt4-NX'!F82</f>
        <v>107063.4936384732</v>
      </c>
      <c r="E3" s="141">
        <f>'Alt4-NX'!G82</f>
        <v>79366.956008119305</v>
      </c>
      <c r="F3" s="141">
        <f>'Alt4-NX'!H82</f>
        <v>134309.56074395243</v>
      </c>
      <c r="G3" s="141">
        <f>'Alt4-NX'!I82</f>
        <v>2702058.921441515</v>
      </c>
      <c r="H3" s="141">
        <f>'Alt4-NX'!J82</f>
        <v>27332.172654485039</v>
      </c>
      <c r="I3" s="141">
        <f>'Alt4-NX'!K82</f>
        <v>36012.379451174376</v>
      </c>
      <c r="J3" s="141">
        <f>'Alt4-NX'!L82</f>
        <v>33840.857634243199</v>
      </c>
      <c r="K3" s="141">
        <f>'Alt4-NX'!M82</f>
        <v>1041806.045461799</v>
      </c>
      <c r="L3" s="141">
        <f>'Alt4-NX'!N82</f>
        <v>25150.948598284554</v>
      </c>
    </row>
    <row r="4" spans="1:12" x14ac:dyDescent="0.25">
      <c r="A4" s="141">
        <f>'Alt4-NX'!C83</f>
        <v>126810.60480390834</v>
      </c>
      <c r="B4" s="141">
        <f>'Alt4-NX'!D83</f>
        <v>321141.01891047455</v>
      </c>
      <c r="C4" s="141">
        <f>'Alt4-NX'!E83</f>
        <v>111462.11745126663</v>
      </c>
      <c r="D4" s="141">
        <f>'Alt4-NX'!F83</f>
        <v>17912936.89506812</v>
      </c>
      <c r="E4" s="141">
        <f>'Alt4-NX'!G83</f>
        <v>57171.973138672074</v>
      </c>
      <c r="F4" s="141">
        <f>'Alt4-NX'!H83</f>
        <v>106015.94733336166</v>
      </c>
      <c r="G4" s="141">
        <f>'Alt4-NX'!I83</f>
        <v>26630.43119416021</v>
      </c>
      <c r="H4" s="141">
        <f>'Alt4-NX'!J83</f>
        <v>2654523.2114988854</v>
      </c>
      <c r="I4" s="141">
        <f>'Alt4-NX'!K83</f>
        <v>27257.991597540429</v>
      </c>
      <c r="J4" s="141">
        <f>'Alt4-NX'!L83</f>
        <v>31760.643192850701</v>
      </c>
      <c r="K4" s="141">
        <f>'Alt4-NX'!M83</f>
        <v>9066.6658375216812</v>
      </c>
      <c r="L4" s="141">
        <f>'Alt4-NX'!N83</f>
        <v>719146.06150379102</v>
      </c>
    </row>
    <row r="5" spans="1:12" x14ac:dyDescent="0.25">
      <c r="A5" s="141">
        <f>'Alt4-NX'!C84</f>
        <v>7122206.041066057</v>
      </c>
      <c r="B5" s="141">
        <f>'Alt4-NX'!D84</f>
        <v>14301780.823926141</v>
      </c>
      <c r="C5" s="141">
        <f>'Alt4-NX'!E84</f>
        <v>4170459.7556384266</v>
      </c>
      <c r="D5" s="141">
        <f>'Alt4-NX'!F84</f>
        <v>3564112.2626702674</v>
      </c>
      <c r="E5" s="141">
        <f>'Alt4-NX'!G84</f>
        <v>0</v>
      </c>
      <c r="F5" s="141">
        <f>'Alt4-NX'!H84</f>
        <v>0</v>
      </c>
      <c r="G5" s="141">
        <f>'Alt4-NX'!I84</f>
        <v>0</v>
      </c>
      <c r="H5" s="141">
        <f>'Alt4-NX'!J84</f>
        <v>0</v>
      </c>
      <c r="I5" s="141">
        <f>'Alt4-NX'!K84</f>
        <v>0</v>
      </c>
      <c r="J5" s="141">
        <f>'Alt4-NX'!L84</f>
        <v>0</v>
      </c>
      <c r="K5" s="141">
        <f>'Alt4-NX'!M84</f>
        <v>0</v>
      </c>
      <c r="L5" s="141">
        <f>'Alt4-NX'!N84</f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5"/>
  <sheetViews>
    <sheetView workbookViewId="0">
      <selection activeCell="E3" sqref="E3"/>
    </sheetView>
  </sheetViews>
  <sheetFormatPr defaultRowHeight="15" x14ac:dyDescent="0.25"/>
  <cols>
    <col min="1" max="1" width="13.28515625" bestFit="1" customWidth="1"/>
    <col min="2" max="2" width="14.28515625" bestFit="1" customWidth="1"/>
    <col min="3" max="5" width="13.28515625" bestFit="1" customWidth="1"/>
    <col min="6" max="6" width="14.28515625" bestFit="1" customWidth="1"/>
    <col min="7" max="10" width="13.28515625" bestFit="1" customWidth="1"/>
    <col min="11" max="12" width="11.5703125" bestFit="1" customWidth="1"/>
    <col min="15" max="15" width="14.28515625" bestFit="1" customWidth="1"/>
  </cols>
  <sheetData>
    <row r="1" spans="1:19" x14ac:dyDescent="0.25">
      <c r="A1" s="113">
        <f>'BenchBalanced-1995'!C53</f>
        <v>5584844.0888938438</v>
      </c>
      <c r="B1" s="113">
        <f>'BenchBalanced-1995'!D53</f>
        <v>255279.65553429612</v>
      </c>
      <c r="C1" s="113">
        <f>'BenchBalanced-1995'!E53</f>
        <v>101767.42729966232</v>
      </c>
      <c r="D1" s="113">
        <f>'BenchBalanced-1995'!F53</f>
        <v>181141.27996116076</v>
      </c>
      <c r="E1" s="113">
        <f>'BenchBalanced-1995'!G53</f>
        <v>5867262.4424776854</v>
      </c>
      <c r="F1" s="113">
        <f>'BenchBalanced-1995'!H53</f>
        <v>93673.103677839434</v>
      </c>
      <c r="G1" s="113">
        <f>'BenchBalanced-1995'!I53</f>
        <v>26263.156265772657</v>
      </c>
      <c r="H1" s="113">
        <f>'BenchBalanced-1995'!J53</f>
        <v>30185.464546718667</v>
      </c>
      <c r="I1" s="113">
        <f>'BenchBalanced-1995'!K53</f>
        <v>1228430.404399208</v>
      </c>
      <c r="J1" s="113">
        <f>'BenchBalanced-1995'!L53</f>
        <v>57433.616809549116</v>
      </c>
      <c r="K1" s="113">
        <f>'BenchBalanced-1995'!M53</f>
        <v>25175.577535009244</v>
      </c>
      <c r="L1" s="113">
        <f>'BenchBalanced-1995'!N53</f>
        <v>23756.720662737436</v>
      </c>
      <c r="M1" s="113"/>
      <c r="N1" s="113"/>
      <c r="O1" s="113"/>
      <c r="P1" s="113"/>
      <c r="Q1" s="113"/>
      <c r="R1" s="113"/>
      <c r="S1" s="113"/>
    </row>
    <row r="2" spans="1:19" x14ac:dyDescent="0.25">
      <c r="A2" s="113">
        <f>'BenchBalanced-1995'!C54</f>
        <v>233119.08221062407</v>
      </c>
      <c r="B2" s="113">
        <f>'BenchBalanced-1995'!D54</f>
        <v>12167615.843802262</v>
      </c>
      <c r="C2" s="113">
        <f>'BenchBalanced-1995'!E54</f>
        <v>231083.60538756629</v>
      </c>
      <c r="D2" s="113">
        <f>'BenchBalanced-1995'!F54</f>
        <v>325223.43441011378</v>
      </c>
      <c r="E2" s="113">
        <f>'BenchBalanced-1995'!G54</f>
        <v>84646.372236560041</v>
      </c>
      <c r="F2" s="113">
        <f>'BenchBalanced-1995'!H54</f>
        <v>11025058.379034571</v>
      </c>
      <c r="G2" s="113">
        <f>'BenchBalanced-1995'!I54</f>
        <v>70538.684120418227</v>
      </c>
      <c r="H2" s="113">
        <f>'BenchBalanced-1995'!J54</f>
        <v>75290.209212554604</v>
      </c>
      <c r="I2" s="113">
        <f>'BenchBalanced-1995'!K54</f>
        <v>98317.777547751772</v>
      </c>
      <c r="J2" s="113">
        <f>'BenchBalanced-1995'!L54</f>
        <v>3279969.7532823854</v>
      </c>
      <c r="K2" s="113">
        <f>'BenchBalanced-1995'!M54</f>
        <v>77366.78059086416</v>
      </c>
      <c r="L2" s="113">
        <f>'BenchBalanced-1995'!N54</f>
        <v>102525.11030918248</v>
      </c>
    </row>
    <row r="3" spans="1:19" x14ac:dyDescent="0.25">
      <c r="A3" s="113">
        <f>'BenchBalanced-1995'!C55</f>
        <v>88197.078054740763</v>
      </c>
      <c r="B3" s="113">
        <f>'BenchBalanced-1995'!D55</f>
        <v>242652.30041768891</v>
      </c>
      <c r="C3" s="113">
        <f>'BenchBalanced-1995'!E55</f>
        <v>3618926.8692085594</v>
      </c>
      <c r="D3" s="113">
        <f>'BenchBalanced-1995'!F55</f>
        <v>91126.803253930571</v>
      </c>
      <c r="E3" s="113">
        <f>'BenchBalanced-1995'!G55</f>
        <v>63645.30258842359</v>
      </c>
      <c r="F3" s="113">
        <f>'BenchBalanced-1995'!H55</f>
        <v>127033.00564506746</v>
      </c>
      <c r="G3" s="113">
        <f>'BenchBalanced-1995'!I55</f>
        <v>2621535.8816721882</v>
      </c>
      <c r="H3" s="113">
        <f>'BenchBalanced-1995'!J55</f>
        <v>19498.494512924408</v>
      </c>
      <c r="I3" s="113">
        <f>'BenchBalanced-1995'!K55</f>
        <v>28514.123072725586</v>
      </c>
      <c r="J3" s="113">
        <f>'BenchBalanced-1995'!L55</f>
        <v>29816.162874936439</v>
      </c>
      <c r="K3" s="113">
        <f>'BenchBalanced-1995'!M55</f>
        <v>980619.21509131265</v>
      </c>
      <c r="L3" s="113">
        <f>'BenchBalanced-1995'!N55</f>
        <v>21478.597454459115</v>
      </c>
    </row>
    <row r="4" spans="1:19" x14ac:dyDescent="0.25">
      <c r="A4" s="113">
        <f>'BenchBalanced-1995'!C56</f>
        <v>119224.09972909895</v>
      </c>
      <c r="B4" s="113">
        <f>'BenchBalanced-1995'!D56</f>
        <v>341936.32484405226</v>
      </c>
      <c r="C4" s="113">
        <f>'BenchBalanced-1995'!E56</f>
        <v>135868.45621229213</v>
      </c>
      <c r="D4" s="113">
        <f>'BenchBalanced-1995'!F56</f>
        <v>2305743.3074151571</v>
      </c>
      <c r="E4" s="113">
        <f>'BenchBalanced-1995'!G56</f>
        <v>53722.288216557616</v>
      </c>
      <c r="F4" s="113">
        <f>'BenchBalanced-1995'!H56</f>
        <v>117496.66323124441</v>
      </c>
      <c r="G4" s="113">
        <f>'BenchBalanced-1995'!I56</f>
        <v>33124.6619536082</v>
      </c>
      <c r="H4" s="113">
        <f>'BenchBalanced-1995'!J56</f>
        <v>2153103.2051918283</v>
      </c>
      <c r="I4" s="113">
        <f>'BenchBalanced-1995'!K56</f>
        <v>25289.878649303475</v>
      </c>
      <c r="J4" s="113">
        <f>'BenchBalanced-1995'!L56</f>
        <v>32790.222979128266</v>
      </c>
      <c r="K4" s="113">
        <f>'BenchBalanced-1995'!M56</f>
        <v>10773.518508816824</v>
      </c>
      <c r="L4" s="113">
        <f>'BenchBalanced-1995'!N56</f>
        <v>674224.10894861992</v>
      </c>
    </row>
    <row r="5" spans="1:19" x14ac:dyDescent="0.25">
      <c r="A5" s="113">
        <f>'BenchBalanced-1995'!C57</f>
        <v>7449828.5891831769</v>
      </c>
      <c r="B5" s="113">
        <f>'BenchBalanced-1995'!D57</f>
        <v>14763270.907539135</v>
      </c>
      <c r="C5" s="113">
        <f>'BenchBalanced-1995'!E57</f>
        <v>3845397.4757382986</v>
      </c>
      <c r="D5" s="113">
        <f>'BenchBalanced-1995'!F57</f>
        <v>3100061.9108391204</v>
      </c>
      <c r="E5" s="113">
        <f>'BenchBalanced-1995'!G57</f>
        <v>0</v>
      </c>
      <c r="F5" s="113">
        <f>'BenchBalanced-1995'!H57</f>
        <v>0</v>
      </c>
      <c r="G5" s="113">
        <f>'BenchBalanced-1995'!I57</f>
        <v>0</v>
      </c>
      <c r="H5" s="113">
        <f>'BenchBalanced-1995'!J57</f>
        <v>0</v>
      </c>
      <c r="I5" s="113">
        <f>'BenchBalanced-1995'!K57</f>
        <v>0</v>
      </c>
      <c r="J5" s="113">
        <f>'BenchBalanced-1995'!L57</f>
        <v>0</v>
      </c>
      <c r="K5" s="113">
        <f>'BenchBalanced-1995'!M57</f>
        <v>0</v>
      </c>
      <c r="L5" s="113">
        <f>'BenchBalanced-1995'!N57</f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5"/>
  <sheetViews>
    <sheetView workbookViewId="0">
      <selection activeCell="F11" sqref="F11"/>
    </sheetView>
  </sheetViews>
  <sheetFormatPr defaultRowHeight="15" x14ac:dyDescent="0.25"/>
  <cols>
    <col min="1" max="2" width="14.28515625" bestFit="1" customWidth="1"/>
    <col min="3" max="5" width="13.28515625" bestFit="1" customWidth="1"/>
    <col min="6" max="6" width="14.28515625" bestFit="1" customWidth="1"/>
    <col min="7" max="10" width="13.28515625" bestFit="1" customWidth="1"/>
    <col min="11" max="12" width="11.5703125" bestFit="1" customWidth="1"/>
    <col min="15" max="15" width="14.28515625" bestFit="1" customWidth="1"/>
  </cols>
  <sheetData>
    <row r="1" spans="1:19" x14ac:dyDescent="0.25">
      <c r="A1" s="113">
        <f>'BenchBalanced-2011'!C53</f>
        <v>10466122.106470503</v>
      </c>
      <c r="B1" s="113">
        <f>'BenchBalanced-2011'!D53</f>
        <v>628350.8817815003</v>
      </c>
      <c r="C1" s="113">
        <f>'BenchBalanced-2011'!E53</f>
        <v>457506.28146904561</v>
      </c>
      <c r="D1" s="113">
        <f>'BenchBalanced-2011'!F53</f>
        <v>368900.8611027372</v>
      </c>
      <c r="E1" s="113">
        <f>'BenchBalanced-2011'!G53</f>
        <v>12086532.771041909</v>
      </c>
      <c r="F1" s="113">
        <f>'BenchBalanced-2011'!H53</f>
        <v>200270.62762229715</v>
      </c>
      <c r="G1" s="113">
        <f>'BenchBalanced-2011'!I53</f>
        <v>104705.10538294155</v>
      </c>
      <c r="H1" s="113">
        <f>'BenchBalanced-2011'!J53</f>
        <v>84830.599063055852</v>
      </c>
      <c r="I1" s="113">
        <f>'BenchBalanced-2011'!K53</f>
        <v>2263027.2446553828</v>
      </c>
      <c r="J1" s="113">
        <f>'BenchBalanced-2011'!L53</f>
        <v>113235.49192823409</v>
      </c>
      <c r="K1" s="113">
        <f>'BenchBalanced-2011'!M53</f>
        <v>86651.791349575462</v>
      </c>
      <c r="L1" s="113">
        <f>'BenchBalanced-2011'!N53</f>
        <v>57986.695895420264</v>
      </c>
      <c r="M1" s="113"/>
      <c r="N1" s="113"/>
      <c r="O1" s="113"/>
      <c r="P1" s="113"/>
      <c r="Q1" s="113"/>
      <c r="R1" s="113"/>
      <c r="S1" s="113"/>
    </row>
    <row r="2" spans="1:19" x14ac:dyDescent="0.25">
      <c r="A2" s="113">
        <f>'BenchBalanced-2011'!C54</f>
        <v>504266.10506544623</v>
      </c>
      <c r="B2" s="113">
        <f>'BenchBalanced-2011'!D54</f>
        <v>21365600.784950688</v>
      </c>
      <c r="C2" s="113">
        <f>'BenchBalanced-2011'!E54</f>
        <v>1156427.6632345279</v>
      </c>
      <c r="D2" s="113">
        <f>'BenchBalanced-2011'!F54</f>
        <v>1201865.2461233805</v>
      </c>
      <c r="E2" s="113">
        <f>'BenchBalanced-2011'!G54</f>
        <v>178799.27737711652</v>
      </c>
      <c r="F2" s="113">
        <f>'BenchBalanced-2011'!H54</f>
        <v>19297344.402305428</v>
      </c>
      <c r="G2" s="113">
        <f>'BenchBalanced-2011'!I54</f>
        <v>295152.93952675216</v>
      </c>
      <c r="H2" s="113">
        <f>'BenchBalanced-2011'!J54</f>
        <v>358661.67451342707</v>
      </c>
      <c r="I2" s="113">
        <f>'BenchBalanced-2011'!K54</f>
        <v>130719.65766893237</v>
      </c>
      <c r="J2" s="113">
        <f>'BenchBalanced-2011'!L54</f>
        <v>4589952.0551661067</v>
      </c>
      <c r="K2" s="113">
        <f>'BenchBalanced-2011'!M54</f>
        <v>245921.65480569511</v>
      </c>
      <c r="L2" s="113">
        <f>'BenchBalanced-2011'!N54</f>
        <v>183939.90193250639</v>
      </c>
    </row>
    <row r="3" spans="1:19" x14ac:dyDescent="0.25">
      <c r="A3" s="113">
        <f>'BenchBalanced-2011'!C55</f>
        <v>434176.90581584111</v>
      </c>
      <c r="B3" s="113">
        <f>'BenchBalanced-2011'!D55</f>
        <v>1167549.3310737668</v>
      </c>
      <c r="C3" s="113">
        <f>'BenchBalanced-2011'!E55</f>
        <v>22566453.549229592</v>
      </c>
      <c r="D3" s="113">
        <f>'BenchBalanced-2011'!F55</f>
        <v>732152.62623307318</v>
      </c>
      <c r="E3" s="113">
        <f>'BenchBalanced-2011'!G55</f>
        <v>199292.80974916625</v>
      </c>
      <c r="F3" s="113">
        <f>'BenchBalanced-2011'!H55</f>
        <v>485711.59635894449</v>
      </c>
      <c r="G3" s="113">
        <f>'BenchBalanced-2011'!I55</f>
        <v>11125893.237435054</v>
      </c>
      <c r="H3" s="113">
        <f>'BenchBalanced-2011'!J55</f>
        <v>199691.64463508799</v>
      </c>
      <c r="I3" s="113">
        <f>'BenchBalanced-2011'!K55</f>
        <v>157207.98223364807</v>
      </c>
      <c r="J3" s="113">
        <f>'BenchBalanced-2011'!L55</f>
        <v>222650.76146195468</v>
      </c>
      <c r="K3" s="113">
        <f>'BenchBalanced-2011'!M55</f>
        <v>5757901.2823213004</v>
      </c>
      <c r="L3" s="113">
        <f>'BenchBalanced-2011'!N55</f>
        <v>188507.09398590215</v>
      </c>
    </row>
    <row r="4" spans="1:19" x14ac:dyDescent="0.25">
      <c r="A4" s="113">
        <f>'BenchBalanced-2011'!C56</f>
        <v>352373.56542318681</v>
      </c>
      <c r="B4" s="113">
        <f>'BenchBalanced-2011'!D56</f>
        <v>1013467.6171398686</v>
      </c>
      <c r="C4" s="113">
        <f>'BenchBalanced-2011'!E56</f>
        <v>1152664.6854585349</v>
      </c>
      <c r="D4" s="113">
        <f>'BenchBalanced-2011'!F56</f>
        <v>8927428.8166347109</v>
      </c>
      <c r="E4" s="113">
        <f>'BenchBalanced-2011'!G56</f>
        <v>121742.98290323303</v>
      </c>
      <c r="F4" s="113">
        <f>'BenchBalanced-2011'!H56</f>
        <v>372977.80150996952</v>
      </c>
      <c r="G4" s="113">
        <f>'BenchBalanced-2011'!I56</f>
        <v>194130.40772774591</v>
      </c>
      <c r="H4" s="113">
        <f>'BenchBalanced-2011'!J56</f>
        <v>7281710.5090687275</v>
      </c>
      <c r="I4" s="113">
        <f>'BenchBalanced-2011'!K56</f>
        <v>23859.049372035064</v>
      </c>
      <c r="J4" s="113">
        <f>'BenchBalanced-2011'!L56</f>
        <v>51540.011364703794</v>
      </c>
      <c r="K4" s="113">
        <f>'BenchBalanced-2011'!M56</f>
        <v>93780.222587367025</v>
      </c>
      <c r="L4" s="113">
        <f>'BenchBalanced-2011'!N56</f>
        <v>2518247.8923391607</v>
      </c>
    </row>
    <row r="5" spans="1:19" x14ac:dyDescent="0.25">
      <c r="A5" s="113">
        <f>'BenchBalanced-2011'!C57</f>
        <v>15161181.774995921</v>
      </c>
      <c r="B5" s="113">
        <f>'BenchBalanced-2011'!D57</f>
        <v>25333682.747720044</v>
      </c>
      <c r="C5" s="113">
        <f>'BenchBalanced-2011'!E57</f>
        <v>17904136.641138092</v>
      </c>
      <c r="D5" s="113">
        <f>'BenchBalanced-2011'!F57</f>
        <v>10873576.011434017</v>
      </c>
      <c r="E5" s="113">
        <f>'BenchBalanced-2011'!G57</f>
        <v>0</v>
      </c>
      <c r="F5" s="113">
        <f>'BenchBalanced-2011'!H57</f>
        <v>0</v>
      </c>
      <c r="G5" s="113">
        <f>'BenchBalanced-2011'!I57</f>
        <v>0</v>
      </c>
      <c r="H5" s="113">
        <f>'BenchBalanced-2011'!J57</f>
        <v>0</v>
      </c>
      <c r="I5" s="113">
        <f>'BenchBalanced-2011'!K57</f>
        <v>0</v>
      </c>
      <c r="J5" s="113">
        <f>'BenchBalanced-2011'!L57</f>
        <v>0</v>
      </c>
      <c r="K5" s="113">
        <f>'BenchBalanced-2011'!M57</f>
        <v>0</v>
      </c>
      <c r="L5" s="113">
        <f>'BenchBalanced-2011'!N57</f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5"/>
  <sheetViews>
    <sheetView topLeftCell="C1" workbookViewId="0">
      <selection activeCell="H16" sqref="H16"/>
    </sheetView>
  </sheetViews>
  <sheetFormatPr defaultRowHeight="15" x14ac:dyDescent="0.25"/>
  <cols>
    <col min="1" max="1" width="17.85546875" bestFit="1" customWidth="1"/>
    <col min="2" max="2" width="18.85546875" bestFit="1" customWidth="1"/>
    <col min="3" max="12" width="17.85546875" bestFit="1" customWidth="1"/>
  </cols>
  <sheetData>
    <row r="1" spans="1:12" x14ac:dyDescent="0.25">
      <c r="A1" s="140">
        <f>'Alt1-Size'!C65</f>
        <v>4713615.5715418914</v>
      </c>
      <c r="B1" s="140">
        <f>'Alt1-Size'!D65</f>
        <v>179242.2440370408</v>
      </c>
      <c r="C1" s="140">
        <f>'Alt1-Balanced-Size'!E65</f>
        <v>132653.87390410679</v>
      </c>
      <c r="D1" s="140">
        <f>'Alt1-Balanced-Size'!F65</f>
        <v>210360.37754818847</v>
      </c>
      <c r="E1" s="140">
        <f>'Alt1-Balanced-Size'!G65</f>
        <v>4988004.5364301633</v>
      </c>
      <c r="F1" s="140">
        <f>'Alt1-Balanced-Size'!H65</f>
        <v>73037.631980075428</v>
      </c>
      <c r="G1" s="140">
        <f>'Alt1-Balanced-Size'!I65</f>
        <v>33487.598044293001</v>
      </c>
      <c r="H1" s="140">
        <f>'Alt1-Balanced-Size'!J65</f>
        <v>33881.798790083492</v>
      </c>
      <c r="I1" s="140">
        <f>'Alt1-Balanced-Size'!K65</f>
        <v>1040280.4435646933</v>
      </c>
      <c r="J1" s="140">
        <f>'Alt1-Balanced-Size'!L65</f>
        <v>44835.073535034193</v>
      </c>
      <c r="K1" s="140">
        <f>'Alt1-Balanced-Size'!M65</f>
        <v>32876.481390007757</v>
      </c>
      <c r="L1" s="140">
        <f>'Alt1-Balanced-Size'!N65</f>
        <v>27489.580857890753</v>
      </c>
    </row>
    <row r="2" spans="1:12" x14ac:dyDescent="0.25">
      <c r="A2" s="140">
        <f>'Alt1-Size'!C66</f>
        <v>198844.81141525862</v>
      </c>
      <c r="B2" s="140">
        <f>'Alt1-Size'!D66</f>
        <v>8634217.5919901486</v>
      </c>
      <c r="C2" s="140">
        <f>'Alt1-Balanced-Size'!E66</f>
        <v>275347.28921450645</v>
      </c>
      <c r="D2" s="140">
        <f>'Alt1-Balanced-Size'!F66</f>
        <v>345246.17037996365</v>
      </c>
      <c r="E2" s="140">
        <f>'Alt1-Balanced-Size'!G66</f>
        <v>65780.959481814018</v>
      </c>
      <c r="F2" s="140">
        <f>'Alt1-Balanced-Size'!H66</f>
        <v>7858021.2816059915</v>
      </c>
      <c r="G2" s="140">
        <f>'Alt1-Balanced-Size'!I66</f>
        <v>82217.631749977634</v>
      </c>
      <c r="H2" s="140">
        <f>'Alt1-Balanced-Size'!J66</f>
        <v>77251.625739912706</v>
      </c>
      <c r="I2" s="140">
        <f>'Alt1-Balanced-Size'!K66</f>
        <v>76108.376660157781</v>
      </c>
      <c r="J2" s="140">
        <f>'Alt1-Balanced-Size'!L66</f>
        <v>2340572.4439230561</v>
      </c>
      <c r="K2" s="140">
        <f>'Alt1-Balanced-Size'!M66</f>
        <v>92355.11272903574</v>
      </c>
      <c r="L2" s="140">
        <f>'Alt1-Balanced-Size'!N66</f>
        <v>108445.7161006548</v>
      </c>
    </row>
    <row r="3" spans="1:12" x14ac:dyDescent="0.25">
      <c r="A3" s="140">
        <f>'Alt1-Size'!C67</f>
        <v>126613.08773122978</v>
      </c>
      <c r="B3" s="140">
        <f>'Alt1-Size'!D67</f>
        <v>289794.32510266366</v>
      </c>
      <c r="C3" s="140">
        <f>'Alt1-Balanced-Size'!E67</f>
        <v>7367236.9728780091</v>
      </c>
      <c r="D3" s="140">
        <f>'Alt1-Balanced-Size'!F67</f>
        <v>165274.68406522545</v>
      </c>
      <c r="E3" s="140">
        <f>'Alt1-Balanced-Size'!G67</f>
        <v>84502.852931093323</v>
      </c>
      <c r="F3" s="140">
        <f>'Alt1-Balanced-Size'!H67</f>
        <v>154689.92849625705</v>
      </c>
      <c r="G3" s="140">
        <f>'Alt1-Balanced-Size'!I67</f>
        <v>5220433.6167230923</v>
      </c>
      <c r="H3" s="140">
        <f>'Alt1-Balanced-Size'!J67</f>
        <v>34180.889989271811</v>
      </c>
      <c r="I3" s="140">
        <f>'Alt1-Balanced-Size'!K67</f>
        <v>37711.480958998771</v>
      </c>
      <c r="J3" s="140">
        <f>'Alt1-Balanced-Size'!L67</f>
        <v>36351.066999962852</v>
      </c>
      <c r="K3" s="140">
        <f>'Alt1-Balanced-Size'!M67</f>
        <v>1999953.8698017795</v>
      </c>
      <c r="L3" s="140">
        <f>'Alt1-Balanced-Size'!N67</f>
        <v>38815.147100965383</v>
      </c>
    </row>
    <row r="4" spans="1:12" x14ac:dyDescent="0.25">
      <c r="A4" s="140">
        <f>'Alt1-Size'!C68</f>
        <v>122430.19528804292</v>
      </c>
      <c r="B4" s="140">
        <f>'Alt1-Size'!D68</f>
        <v>292112.93679985608</v>
      </c>
      <c r="C4" s="140">
        <f>'Alt1-Balanced-Size'!E68</f>
        <v>235825.34739523032</v>
      </c>
      <c r="D4" s="140">
        <f>'Alt1-Balanced-Size'!F68</f>
        <v>3565481.3290855391</v>
      </c>
      <c r="E4" s="140">
        <f>'Alt1-Balanced-Size'!G68</f>
        <v>60814.414246403656</v>
      </c>
      <c r="F4" s="140">
        <f>'Alt1-Balanced-Size'!H68</f>
        <v>121988.25189250121</v>
      </c>
      <c r="G4" s="140">
        <f>'Alt1-Balanced-Size'!I68</f>
        <v>56240.508108349801</v>
      </c>
      <c r="H4" s="140">
        <f>'Alt1-Balanced-Size'!J68</f>
        <v>3218060.0431584166</v>
      </c>
      <c r="I4" s="140">
        <f>'Alt1-Balanced-Size'!K68</f>
        <v>28517.228996406335</v>
      </c>
      <c r="J4" s="140">
        <f>'Alt1-Balanced-Size'!L68</f>
        <v>34084.489243445787</v>
      </c>
      <c r="K4" s="140">
        <f>'Alt1-Balanced-Size'!M68</f>
        <v>18733.725453726449</v>
      </c>
      <c r="L4" s="140">
        <f>'Alt1-Balanced-Size'!N68</f>
        <v>1038835.0766162223</v>
      </c>
    </row>
    <row r="5" spans="1:12" x14ac:dyDescent="0.25">
      <c r="A5" s="140">
        <f>'Alt1-Size'!C69</f>
        <v>6381720.2932775421</v>
      </c>
      <c r="B5" s="140">
        <f>'Alt1-Size'!D69</f>
        <v>10663580.167674599</v>
      </c>
      <c r="C5" s="140">
        <f>'Alt1-Balanced-Size'!E69</f>
        <v>7536298.5439960016</v>
      </c>
      <c r="D5" s="140">
        <f>'Alt1-Balanced-Size'!F69</f>
        <v>4576959.8783536023</v>
      </c>
      <c r="E5" s="140">
        <f>'Alt1-Balanced-Size'!G69</f>
        <v>0</v>
      </c>
      <c r="F5" s="140">
        <f>'Alt1-Balanced-Size'!H69</f>
        <v>0</v>
      </c>
      <c r="G5" s="140">
        <f>'Alt1-Balanced-Size'!I69</f>
        <v>0</v>
      </c>
      <c r="H5" s="140">
        <f>'Alt1-Balanced-Size'!J69</f>
        <v>0</v>
      </c>
      <c r="I5" s="140">
        <f>'Alt1-Balanced-Size'!K69</f>
        <v>0</v>
      </c>
      <c r="J5" s="140">
        <f>'Alt1-Balanced-Size'!L69</f>
        <v>0</v>
      </c>
      <c r="K5" s="140">
        <f>'Alt1-Balanced-Size'!M69</f>
        <v>0</v>
      </c>
      <c r="L5" s="140">
        <f>'Alt1-Balanced-Size'!N69</f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5"/>
  <sheetViews>
    <sheetView workbookViewId="0">
      <selection activeCell="G12" sqref="G12"/>
    </sheetView>
  </sheetViews>
  <sheetFormatPr defaultRowHeight="15" x14ac:dyDescent="0.25"/>
  <cols>
    <col min="1" max="2" width="11.5703125" bestFit="1" customWidth="1"/>
    <col min="3" max="7" width="17.85546875" bestFit="1" customWidth="1"/>
    <col min="8" max="12" width="16.7109375" bestFit="1" customWidth="1"/>
  </cols>
  <sheetData>
    <row r="1" spans="1:12" x14ac:dyDescent="0.25">
      <c r="A1" s="121">
        <f>'Alt2-Trd'!C84</f>
        <v>5514335.082989132</v>
      </c>
      <c r="B1" s="121">
        <f>'Alt2-Trd'!D84</f>
        <v>180078.57991006409</v>
      </c>
      <c r="C1" s="139">
        <f>'Alt2-Balanced-Trd'!E84</f>
        <v>180824.25996864395</v>
      </c>
      <c r="D1" s="139">
        <f>'Alt2-Balanced-Trd'!F84</f>
        <v>223776.33483551012</v>
      </c>
      <c r="E1" s="139">
        <f>'Alt2-Balanced-Trd'!G84</f>
        <v>5844309.1720019476</v>
      </c>
      <c r="F1" s="139">
        <f>'Alt2-Balanced-Trd'!H84</f>
        <v>69077.479471708226</v>
      </c>
      <c r="G1" s="139">
        <f>'Alt2-Balanced-Trd'!I84</f>
        <v>47346.113953241962</v>
      </c>
      <c r="H1" s="139">
        <f>'Alt2-Balanced-Trd'!J84</f>
        <v>36929.409561891363</v>
      </c>
      <c r="I1" s="139">
        <f>'Alt2-Balanced-Trd'!K84</f>
        <v>1211145.9934988001</v>
      </c>
      <c r="J1" s="139">
        <f>'Alt2-Balanced-Trd'!L84</f>
        <v>49343.747560924588</v>
      </c>
      <c r="K1" s="139">
        <f>'Alt2-Balanced-Trd'!M84</f>
        <v>49086.965228222405</v>
      </c>
      <c r="L1" s="139">
        <f>'Alt2-Balanced-Trd'!N84</f>
        <v>29214.448994233917</v>
      </c>
    </row>
    <row r="2" spans="1:12" x14ac:dyDescent="0.25">
      <c r="A2" s="121">
        <f>'Alt2-Trd'!C85</f>
        <v>202081.86769775505</v>
      </c>
      <c r="B2" s="121">
        <f>'Alt2-Trd'!D85</f>
        <v>11960655.423615998</v>
      </c>
      <c r="C2" s="139">
        <f>'Alt2-Balanced-Trd'!E85</f>
        <v>460235.93699616712</v>
      </c>
      <c r="D2" s="139">
        <f>'Alt2-Balanced-Trd'!F85</f>
        <v>450341.58017343999</v>
      </c>
      <c r="E2" s="139">
        <f>'Alt2-Balanced-Trd'!G85</f>
        <v>59901.80742383196</v>
      </c>
      <c r="F2" s="139">
        <f>'Alt2-Balanced-Trd'!H85</f>
        <v>10896551.745555244</v>
      </c>
      <c r="G2" s="139">
        <f>'Alt2-Balanced-Trd'!I85</f>
        <v>142537.21418508011</v>
      </c>
      <c r="H2" s="139">
        <f>'Alt2-Balanced-Trd'!J85</f>
        <v>103246.77512628505</v>
      </c>
      <c r="I2" s="139">
        <f>'Alt2-Balanced-Trd'!K85</f>
        <v>81381.414376950808</v>
      </c>
      <c r="J2" s="139">
        <f>'Alt2-Balanced-Trd'!L85</f>
        <v>3234358.2507253494</v>
      </c>
      <c r="K2" s="139">
        <f>'Alt2-Balanced-Trd'!M85</f>
        <v>169084.87369592924</v>
      </c>
      <c r="L2" s="139">
        <f>'Alt2-Balanced-Trd'!N85</f>
        <v>141320.42833488347</v>
      </c>
    </row>
    <row r="3" spans="1:12" x14ac:dyDescent="0.25">
      <c r="A3" s="121">
        <f>'Alt2-Trd'!C86</f>
        <v>176690.49842322656</v>
      </c>
      <c r="B3" s="121">
        <f>'Alt2-Trd'!D86</f>
        <v>486826.64801207441</v>
      </c>
      <c r="C3" s="139">
        <f>'Alt2-Balanced-Trd'!E86</f>
        <v>3038225.9667235413</v>
      </c>
      <c r="D3" s="139">
        <f>'Alt2-Balanced-Trd'!F86</f>
        <v>301715.69395051856</v>
      </c>
      <c r="E3" s="139">
        <f>'Alt2-Balanced-Trd'!G86</f>
        <v>107693.49765223646</v>
      </c>
      <c r="F3" s="139">
        <f>'Alt2-Balanced-Trd'!H86</f>
        <v>251069.05476244129</v>
      </c>
      <c r="G3" s="139">
        <f>'Alt2-Balanced-Trd'!I86</f>
        <v>2460568.7383109094</v>
      </c>
      <c r="H3" s="139">
        <f>'Alt2-Balanced-Trd'!J86</f>
        <v>63933.815293891908</v>
      </c>
      <c r="I3" s="139">
        <f>'Alt2-Balanced-Trd'!K86</f>
        <v>56434.508913730984</v>
      </c>
      <c r="J3" s="139">
        <f>'Alt2-Balanced-Trd'!L86</f>
        <v>68655.092616629423</v>
      </c>
      <c r="K3" s="139">
        <f>'Alt2-Balanced-Trd'!M86</f>
        <v>840231.12928214227</v>
      </c>
      <c r="L3" s="139">
        <f>'Alt2-Balanced-Trd'!N86</f>
        <v>70790.041735521154</v>
      </c>
    </row>
    <row r="4" spans="1:12" x14ac:dyDescent="0.25">
      <c r="A4" s="121">
        <f>'Alt2-Trd'!C87</f>
        <v>132276.89976458176</v>
      </c>
      <c r="B4" s="121">
        <f>'Alt2-Trd'!D87</f>
        <v>379923.47306769941</v>
      </c>
      <c r="C4" s="139">
        <f>'Alt2-Balanced-Trd'!E87</f>
        <v>408360.19442335435</v>
      </c>
      <c r="D4" s="139">
        <f>'Alt2-Balanced-Trd'!F87</f>
        <v>1927401.2160873346</v>
      </c>
      <c r="E4" s="139">
        <f>'Alt2-Balanced-Trd'!G87</f>
        <v>57371.928441210934</v>
      </c>
      <c r="F4" s="139">
        <f>'Alt2-Balanced-Trd'!H87</f>
        <v>146562.87179932967</v>
      </c>
      <c r="G4" s="139">
        <f>'Alt2-Balanced-Trd'!I87</f>
        <v>101010.3175627556</v>
      </c>
      <c r="H4" s="139">
        <f>'Alt2-Balanced-Trd'!J87</f>
        <v>2073967.3734819577</v>
      </c>
      <c r="I4" s="139">
        <f>'Alt2-Balanced-Trd'!K87</f>
        <v>31590.26687950694</v>
      </c>
      <c r="J4" s="139">
        <f>'Alt2-Balanced-Trd'!L87</f>
        <v>47652.665043096305</v>
      </c>
      <c r="K4" s="139">
        <f>'Alt2-Balanced-Trd'!M87</f>
        <v>35532.123519709101</v>
      </c>
      <c r="L4" s="139">
        <f>'Alt2-Balanced-Trd'!N87</f>
        <v>580659.61831036035</v>
      </c>
    </row>
    <row r="5" spans="1:12" x14ac:dyDescent="0.25">
      <c r="A5" s="121">
        <f>'Alt2-Trd'!C88</f>
        <v>7449828.5891967863</v>
      </c>
      <c r="B5" s="121">
        <f>'Alt2-Trd'!D88</f>
        <v>14763270.907531595</v>
      </c>
      <c r="C5" s="139">
        <f>'Alt2-Balanced-Trd'!E88</f>
        <v>3845397.4757346725</v>
      </c>
      <c r="D5" s="139">
        <f>'Alt2-Balanced-Trd'!F88</f>
        <v>3100061.9108326789</v>
      </c>
      <c r="E5" s="139">
        <f>'Alt2-Balanced-Trd'!G88</f>
        <v>0</v>
      </c>
      <c r="F5" s="139">
        <f>'Alt2-Balanced-Trd'!H88</f>
        <v>0</v>
      </c>
      <c r="G5" s="139">
        <f>'Alt2-Balanced-Trd'!I88</f>
        <v>0</v>
      </c>
      <c r="H5" s="139">
        <f>'Alt2-Balanced-Trd'!J88</f>
        <v>0</v>
      </c>
      <c r="I5" s="139">
        <f>'Alt2-Balanced-Trd'!K88</f>
        <v>0</v>
      </c>
      <c r="J5" s="139">
        <f>'Alt2-Balanced-Trd'!L88</f>
        <v>0</v>
      </c>
      <c r="K5" s="139">
        <f>'Alt2-Balanced-Trd'!M88</f>
        <v>0</v>
      </c>
      <c r="L5" s="139">
        <f>'Alt2-Balanced-Trd'!N88</f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5"/>
  <sheetViews>
    <sheetView tabSelected="1" topLeftCell="I1" workbookViewId="0">
      <selection activeCell="L22" sqref="L22"/>
    </sheetView>
  </sheetViews>
  <sheetFormatPr defaultRowHeight="15" x14ac:dyDescent="0.25"/>
  <cols>
    <col min="1" max="2" width="11.5703125" bestFit="1" customWidth="1"/>
    <col min="3" max="7" width="19.85546875" bestFit="1" customWidth="1"/>
    <col min="8" max="12" width="18.85546875" bestFit="1" customWidth="1"/>
  </cols>
  <sheetData>
    <row r="1" spans="1:12" x14ac:dyDescent="0.25">
      <c r="A1" s="121">
        <f>'Alt3-IO'!C89</f>
        <v>5564804.2664317656</v>
      </c>
      <c r="B1" s="121">
        <f>'Alt3-IO'!D89</f>
        <v>246665.08590243309</v>
      </c>
      <c r="C1" s="137">
        <f>'Alt3-IO'!E89</f>
        <v>101354.3090165913</v>
      </c>
      <c r="D1" s="137">
        <f>'Alt3-IO'!F89</f>
        <v>204748.85220590205</v>
      </c>
      <c r="E1" s="137">
        <f>'Alt3-IO'!G89</f>
        <v>5940881.4554538783</v>
      </c>
      <c r="F1" s="137">
        <f>'Alt3-IO'!H89</f>
        <v>69219.786289492826</v>
      </c>
      <c r="G1" s="137">
        <f>'Alt3-IO'!I89</f>
        <v>20334.544472252659</v>
      </c>
      <c r="H1" s="137">
        <f>'Alt3-IO'!J89</f>
        <v>35661.389069443707</v>
      </c>
      <c r="I1" s="137">
        <f>'Alt3-IO'!K89</f>
        <v>1228833.7176343231</v>
      </c>
      <c r="J1" s="137">
        <f>'Alt3-IO'!L89</f>
        <v>43926.571466463574</v>
      </c>
      <c r="K1" s="137">
        <f>'Alt3-IO'!M89</f>
        <v>19831.767476516325</v>
      </c>
      <c r="L1" s="137">
        <f>'Alt3-IO'!N89</f>
        <v>23483.005937503229</v>
      </c>
    </row>
    <row r="2" spans="1:12" x14ac:dyDescent="0.25">
      <c r="A2" s="121">
        <f>'Alt3-IO'!C90</f>
        <v>276747.28486813803</v>
      </c>
      <c r="B2" s="121">
        <f>'Alt3-IO'!D90</f>
        <v>12275066.818856552</v>
      </c>
      <c r="C2" s="137">
        <f>'Alt3-IO'!E90</f>
        <v>261633.54379824849</v>
      </c>
      <c r="D2" s="137">
        <f>'Alt3-IO'!F90</f>
        <v>417904.20655172592</v>
      </c>
      <c r="E2" s="137">
        <f>'Alt3-IO'!G90</f>
        <v>90417.182504532844</v>
      </c>
      <c r="F2" s="137">
        <f>'Alt3-IO'!H90</f>
        <v>10745248.849959064</v>
      </c>
      <c r="G2" s="137">
        <f>'Alt3-IO'!I90</f>
        <v>62087.725633124574</v>
      </c>
      <c r="H2" s="137">
        <f>'Alt3-IO'!J90</f>
        <v>101118.30077683898</v>
      </c>
      <c r="I2" s="137">
        <f>'Alt3-IO'!K90</f>
        <v>102896.53145086674</v>
      </c>
      <c r="J2" s="137">
        <f>'Alt3-IO'!L90</f>
        <v>3309469.1824563313</v>
      </c>
      <c r="K2" s="137">
        <f>'Alt3-IO'!M90</f>
        <v>69283.109676904511</v>
      </c>
      <c r="L2" s="137">
        <f>'Alt3-IO'!N90</f>
        <v>115209.50463093512</v>
      </c>
    </row>
    <row r="3" spans="1:12" x14ac:dyDescent="0.25">
      <c r="A3" s="121">
        <f>'Alt3-IO'!C91</f>
        <v>100571.07725288712</v>
      </c>
      <c r="B3" s="121">
        <f>'Alt3-IO'!D91</f>
        <v>256023.6692553797</v>
      </c>
      <c r="C3" s="137">
        <f>'Alt3-IO'!E91</f>
        <v>3640906.9840625534</v>
      </c>
      <c r="D3" s="137">
        <f>'Alt3-IO'!F91</f>
        <v>112474.58695362767</v>
      </c>
      <c r="E3" s="137">
        <f>'Alt3-IO'!G91</f>
        <v>65301.376521476544</v>
      </c>
      <c r="F3" s="137">
        <f>'Alt3-IO'!H91</f>
        <v>102502.89839925765</v>
      </c>
      <c r="G3" s="137">
        <f>'Alt3-IO'!I91</f>
        <v>2589292.9481973569</v>
      </c>
      <c r="H3" s="137">
        <f>'Alt3-IO'!J91</f>
        <v>25153.921440293649</v>
      </c>
      <c r="I3" s="137">
        <f>'Alt3-IO'!K91</f>
        <v>28664.347675053439</v>
      </c>
      <c r="J3" s="137">
        <f>'Alt3-IO'!L91</f>
        <v>24901.019077202054</v>
      </c>
      <c r="K3" s="137">
        <f>'Alt3-IO'!M91</f>
        <v>997472.47894359764</v>
      </c>
      <c r="L3" s="137">
        <f>'Alt3-IO'!N91</f>
        <v>23183.411467194714</v>
      </c>
    </row>
    <row r="4" spans="1:12" x14ac:dyDescent="0.25">
      <c r="A4" s="121">
        <f>'Alt3-IO'!C92</f>
        <v>107793.53360946888</v>
      </c>
      <c r="B4" s="121">
        <f>'Alt3-IO'!D92</f>
        <v>286055.75962206157</v>
      </c>
      <c r="C4" s="137">
        <f>'Alt3-IO'!E92</f>
        <v>117156.40662916261</v>
      </c>
      <c r="D4" s="137">
        <f>'Alt3-IO'!F92</f>
        <v>2199233.0214602062</v>
      </c>
      <c r="E4" s="137">
        <f>'Alt3-IO'!G92</f>
        <v>43703.904189102017</v>
      </c>
      <c r="F4" s="137">
        <f>'Alt3-IO'!H92</f>
        <v>75171.784104180711</v>
      </c>
      <c r="G4" s="137">
        <f>'Alt3-IO'!I92</f>
        <v>22205.11186427495</v>
      </c>
      <c r="H4" s="137">
        <f>'Alt3-IO'!J92</f>
        <v>2473776.1357094226</v>
      </c>
      <c r="I4" s="137">
        <f>'Alt3-IO'!K92</f>
        <v>20157.586908745729</v>
      </c>
      <c r="J4" s="137">
        <f>'Alt3-IO'!L92</f>
        <v>21712.982946002801</v>
      </c>
      <c r="K4" s="137">
        <f>'Alt3-IO'!M92</f>
        <v>7347.7356289843192</v>
      </c>
      <c r="L4" s="137">
        <f>'Alt3-IO'!N92</f>
        <v>660108.6153393659</v>
      </c>
    </row>
    <row r="5" spans="1:12" x14ac:dyDescent="0.25">
      <c r="A5" s="121">
        <f>'Alt3-IO'!C93</f>
        <v>7449828.5891938359</v>
      </c>
      <c r="B5" s="121">
        <f>'Alt3-IO'!D93</f>
        <v>14763270.907528723</v>
      </c>
      <c r="C5" s="137">
        <f>'Alt3-IO'!E93</f>
        <v>3845397.4757386507</v>
      </c>
      <c r="D5" s="137">
        <f>'Alt3-IO'!F93</f>
        <v>3100061.9108387535</v>
      </c>
      <c r="E5" s="137">
        <f>'Alt3-IO'!G93</f>
        <v>0</v>
      </c>
      <c r="F5" s="137">
        <f>'Alt3-IO'!H93</f>
        <v>0</v>
      </c>
      <c r="G5" s="137">
        <f>'Alt3-IO'!I93</f>
        <v>0</v>
      </c>
      <c r="H5" s="137">
        <f>'Alt3-IO'!J93</f>
        <v>0</v>
      </c>
      <c r="I5" s="137">
        <f>'Alt3-IO'!K93</f>
        <v>0</v>
      </c>
      <c r="J5" s="137">
        <f>'Alt3-IO'!L93</f>
        <v>0</v>
      </c>
      <c r="K5" s="137">
        <f>'Alt3-IO'!M93</f>
        <v>0</v>
      </c>
      <c r="L5" s="137">
        <f>'Alt3-IO'!N93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BenchmarkIOMatrix-1995</vt:lpstr>
      <vt:lpstr>BenchmarkIOMatrix-2011</vt:lpstr>
      <vt:lpstr>Alt1-Size</vt:lpstr>
      <vt:lpstr>Alt2-Trd</vt:lpstr>
      <vt:lpstr>Alt3-IO</vt:lpstr>
      <vt:lpstr>Alt4-NX</vt:lpstr>
      <vt:lpstr>BenchBalanced-1995</vt:lpstr>
      <vt:lpstr>BenchBalanced-2011</vt:lpstr>
      <vt:lpstr>Alt1-Balanced-Size</vt:lpstr>
      <vt:lpstr>Alt2-Balanced-Trd</vt:lpstr>
      <vt:lpstr>Alt3-Balanced-IO</vt:lpstr>
      <vt:lpstr>iomat-bench-1995</vt:lpstr>
      <vt:lpstr>iomat-bench-2011</vt:lpstr>
      <vt:lpstr>iomat-size-counter</vt:lpstr>
      <vt:lpstr>iomat-trd-counter</vt:lpstr>
      <vt:lpstr>iomat-io-counter</vt:lpstr>
      <vt:lpstr>iomat-nx-counter</vt:lpstr>
      <vt:lpstr>iomat-bal-bench-1995</vt:lpstr>
      <vt:lpstr>iomat-bal-bench-2011</vt:lpstr>
      <vt:lpstr>iomat-bal-size-counter</vt:lpstr>
      <vt:lpstr>iomat-bal-trd-counter</vt:lpstr>
      <vt:lpstr>iomat-bal-io-counter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Reitze</dc:creator>
  <cp:lastModifiedBy>Joseph Steinberg</cp:lastModifiedBy>
  <cp:lastPrinted>2015-03-27T20:30:27Z</cp:lastPrinted>
  <dcterms:created xsi:type="dcterms:W3CDTF">2012-04-03T07:40:16Z</dcterms:created>
  <dcterms:modified xsi:type="dcterms:W3CDTF">2017-03-21T17:43:09Z</dcterms:modified>
</cp:coreProperties>
</file>